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and_All_CaseStudies\EGTRAIN\QEGTRAIN\Input\Input_EGTRAIN_Milano_Brescia\"/>
    </mc:Choice>
  </mc:AlternateContent>
  <xr:revisionPtr revIDLastSave="0" documentId="13_ncr:1_{E0C6C267-58C1-48D2-A3D5-4C7AA4250B09}" xr6:coauthVersionLast="47" xr6:coauthVersionMax="47" xr10:uidLastSave="{00000000-0000-0000-0000-000000000000}"/>
  <bookViews>
    <workbookView minimized="1" xWindow="1820" yWindow="90" windowWidth="14470" windowHeight="9310" firstSheet="40" activeTab="40" xr2:uid="{00000000-000D-0000-FFFF-FFFF00000000}"/>
  </bookViews>
  <sheets>
    <sheet name="B0" sheetId="1" r:id="rId1"/>
    <sheet name="B1" sheetId="2" r:id="rId2"/>
    <sheet name="B2" sheetId="5" r:id="rId3"/>
    <sheet name="B3" sheetId="4" r:id="rId4"/>
    <sheet name="B4" sheetId="6" r:id="rId5"/>
    <sheet name="B5" sheetId="7" r:id="rId6"/>
    <sheet name="B6" sheetId="8" r:id="rId7"/>
    <sheet name="B7" sheetId="24" r:id="rId8"/>
    <sheet name="B8" sheetId="10" r:id="rId9"/>
    <sheet name="B9" sheetId="9" r:id="rId10"/>
    <sheet name="B10" sheetId="11" r:id="rId11"/>
    <sheet name="B11" sheetId="13" r:id="rId12"/>
    <sheet name="B12" sheetId="14" r:id="rId13"/>
    <sheet name="B13" sheetId="18" r:id="rId14"/>
    <sheet name="B14" sheetId="21" r:id="rId15"/>
    <sheet name="B15" sheetId="12" r:id="rId16"/>
    <sheet name="B16" sheetId="15" r:id="rId17"/>
    <sheet name="B17" sheetId="16" r:id="rId18"/>
    <sheet name="B18" sheetId="17" r:id="rId19"/>
    <sheet name="B19" sheetId="19" r:id="rId20"/>
    <sheet name="B20" sheetId="22" r:id="rId21"/>
    <sheet name="B21" sheetId="25" r:id="rId22"/>
    <sheet name="B22" sheetId="26" r:id="rId23"/>
    <sheet name="B23" sheetId="27" r:id="rId24"/>
    <sheet name="B24" sheetId="28" r:id="rId25"/>
    <sheet name="B25" sheetId="29" r:id="rId26"/>
    <sheet name="B26" sheetId="30" r:id="rId27"/>
    <sheet name="B27" sheetId="31" r:id="rId28"/>
    <sheet name="B28" sheetId="32" r:id="rId29"/>
    <sheet name="B29" sheetId="33" r:id="rId30"/>
    <sheet name="B30" sheetId="34" r:id="rId31"/>
    <sheet name="B31" sheetId="35" r:id="rId32"/>
    <sheet name="B32" sheetId="36" r:id="rId33"/>
    <sheet name="B33" sheetId="37" r:id="rId34"/>
    <sheet name="B34" sheetId="38" r:id="rId35"/>
    <sheet name="B35" sheetId="20" r:id="rId36"/>
    <sheet name="B36" sheetId="39" r:id="rId37"/>
    <sheet name="B37" sheetId="23" r:id="rId38"/>
    <sheet name="Connections" sheetId="3" r:id="rId39"/>
    <sheet name="Connection analysis" sheetId="43" r:id="rId40"/>
    <sheet name="BlockSections" sheetId="42" r:id="rId41"/>
    <sheet name="Stations" sheetId="40" r:id="rId42"/>
    <sheet name="Areas" sheetId="45" r:id="rId43"/>
    <sheet name="Trial Timetable" sheetId="44" r:id="rId44"/>
    <sheet name="PlatformTrackID VS Tracklines" sheetId="41" r:id="rId45"/>
  </sheets>
  <definedNames>
    <definedName name="_xlnm._FilterDatabase" localSheetId="0" hidden="1">B0!$A$1:$N$96</definedName>
    <definedName name="_xlnm._FilterDatabase" localSheetId="1" hidden="1">'B1'!$A$1:$N$101</definedName>
    <definedName name="_xlnm._FilterDatabase" localSheetId="10" hidden="1">'B10'!$A$1:$N$9</definedName>
    <definedName name="_xlnm._FilterDatabase" localSheetId="11" hidden="1">'B11'!$A$1:$N$35</definedName>
    <definedName name="_xlnm._FilterDatabase" localSheetId="12" hidden="1">'B12'!$A$1:$N$37</definedName>
    <definedName name="_xlnm._FilterDatabase" localSheetId="13" hidden="1">'B13'!$A$1:$O$131</definedName>
    <definedName name="_xlnm._FilterDatabase" localSheetId="14" hidden="1">'B14'!$A$1:$N$133</definedName>
    <definedName name="_xlnm._FilterDatabase" localSheetId="15" hidden="1">'B15'!$A$1:$N$8</definedName>
    <definedName name="_xlnm._FilterDatabase" localSheetId="16" hidden="1">'B16'!$A$1:$N$21</definedName>
    <definedName name="_xlnm._FilterDatabase" localSheetId="17" hidden="1">'B17'!$A$1:$N$11</definedName>
    <definedName name="_xlnm._FilterDatabase" localSheetId="18" hidden="1">'B18'!$A$1:$N$7</definedName>
    <definedName name="_xlnm._FilterDatabase" localSheetId="19" hidden="1">'B19'!$A$1:$N$10</definedName>
    <definedName name="_xlnm._FilterDatabase" localSheetId="2" hidden="1">'B2'!$A$1:$N$129</definedName>
    <definedName name="_xlnm._FilterDatabase" localSheetId="20" hidden="1">'B20'!$A$1:$N$8</definedName>
    <definedName name="_xlnm._FilterDatabase" localSheetId="21" hidden="1">'B21'!$A$1:$N$5</definedName>
    <definedName name="_xlnm._FilterDatabase" localSheetId="22" hidden="1">'B22'!$A$1:$N$4</definedName>
    <definedName name="_xlnm._FilterDatabase" localSheetId="23" hidden="1">'B23'!$A$1:$N$10</definedName>
    <definedName name="_xlnm._FilterDatabase" localSheetId="24" hidden="1">'B24'!$A$1:$N$7</definedName>
    <definedName name="_xlnm._FilterDatabase" localSheetId="25" hidden="1">'B25'!$A$1:$N$13</definedName>
    <definedName name="_xlnm._FilterDatabase" localSheetId="26" hidden="1">'B26'!$A$1:$N$12</definedName>
    <definedName name="_xlnm._FilterDatabase" localSheetId="27" hidden="1">'B27'!$A$1:$N$17</definedName>
    <definedName name="_xlnm._FilterDatabase" localSheetId="28" hidden="1">'B28'!$A$1:$P$11</definedName>
    <definedName name="_xlnm._FilterDatabase" localSheetId="29" hidden="1">'B29'!$A$1:$N$8</definedName>
    <definedName name="_xlnm._FilterDatabase" localSheetId="3" hidden="1">'B3'!$A$1:$N$8</definedName>
    <definedName name="_xlnm._FilterDatabase" localSheetId="30" hidden="1">'B30'!$A$1:$N$8</definedName>
    <definedName name="_xlnm._FilterDatabase" localSheetId="31" hidden="1">'B31'!$A$1:$N$10</definedName>
    <definedName name="_xlnm._FilterDatabase" localSheetId="32" hidden="1">'B32'!$A$1:$N$12</definedName>
    <definedName name="_xlnm._FilterDatabase" localSheetId="33" hidden="1">'B33'!$A$1:$N$9</definedName>
    <definedName name="_xlnm._FilterDatabase" localSheetId="34" hidden="1">'B34'!$A$1:$N$8</definedName>
    <definedName name="_xlnm._FilterDatabase" localSheetId="35" hidden="1">'B35'!$A$1:$N$9</definedName>
    <definedName name="_xlnm._FilterDatabase" localSheetId="36" hidden="1">'B36'!$A$1:$N$8</definedName>
    <definedName name="_xlnm._FilterDatabase" localSheetId="37" hidden="1">'B37'!$A$1:$N$8</definedName>
    <definedName name="_xlnm._FilterDatabase" localSheetId="4" hidden="1">'B4'!$A$1:$N$130</definedName>
    <definedName name="_xlnm._FilterDatabase" localSheetId="5" hidden="1">'B5'!$H$1:$H$6</definedName>
    <definedName name="_xlnm._FilterDatabase" localSheetId="6" hidden="1">'B6'!$A$1:$N$7</definedName>
    <definedName name="_xlnm._FilterDatabase" localSheetId="7" hidden="1">'B7'!$A$1:$N$8</definedName>
    <definedName name="_xlnm._FilterDatabase" localSheetId="8" hidden="1">'B8'!$A$1:$N$8</definedName>
    <definedName name="_xlnm._FilterDatabase" localSheetId="9" hidden="1">'B9'!$A$1:$N$8</definedName>
    <definedName name="_xlnm._FilterDatabase" localSheetId="39" hidden="1">'Connection analysis'!$A$1:$D$108</definedName>
    <definedName name="_xlnm._FilterDatabase" localSheetId="38" hidden="1">Connections!$A$1:$E$110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42" l="1"/>
  <c r="L5" i="3"/>
  <c r="O14" i="3"/>
  <c r="F3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C9" i="45"/>
  <c r="B9" i="45"/>
  <c r="B31" i="45"/>
  <c r="B30" i="45"/>
  <c r="B29" i="45"/>
  <c r="B28" i="45"/>
  <c r="B27" i="45"/>
  <c r="C25" i="45"/>
  <c r="C23" i="45"/>
  <c r="B25" i="45"/>
  <c r="B23" i="45"/>
  <c r="B22" i="45"/>
  <c r="B21" i="45"/>
  <c r="B19" i="45"/>
  <c r="B18" i="45"/>
  <c r="B17" i="45"/>
  <c r="B16" i="45"/>
  <c r="B15" i="45"/>
  <c r="B11" i="45"/>
  <c r="B5" i="45" l="1"/>
  <c r="B6" i="45"/>
  <c r="B7" i="45"/>
  <c r="B8" i="45"/>
  <c r="B4" i="45"/>
  <c r="B3" i="45"/>
  <c r="B2" i="45"/>
  <c r="F2" i="45" s="1"/>
  <c r="L79" i="3"/>
  <c r="L76" i="3"/>
  <c r="L46" i="3"/>
  <c r="L42" i="3"/>
  <c r="L41" i="3"/>
  <c r="L31" i="3"/>
  <c r="L30" i="3"/>
  <c r="L23" i="3"/>
  <c r="L22" i="3"/>
  <c r="L14" i="3"/>
  <c r="L13" i="3"/>
  <c r="I18" i="6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A20" i="6"/>
  <c r="A21" i="6"/>
  <c r="A22" i="6" s="1"/>
  <c r="E109" i="43"/>
  <c r="N20" i="6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7" i="5"/>
  <c r="Q8" i="5"/>
  <c r="Q9" i="5"/>
  <c r="Q10" i="5"/>
  <c r="Q11" i="5"/>
  <c r="Q12" i="5"/>
  <c r="Q13" i="5"/>
  <c r="Q14" i="5"/>
  <c r="Q15" i="5"/>
  <c r="Q16" i="5"/>
  <c r="N7" i="5"/>
  <c r="N8" i="5"/>
  <c r="I13" i="5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7" i="5"/>
  <c r="I8" i="5" s="1"/>
  <c r="I9" i="5" s="1"/>
  <c r="I10" i="5" s="1"/>
  <c r="I11" i="5" s="1"/>
  <c r="I12" i="5" s="1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7" i="5"/>
  <c r="K8" i="5"/>
  <c r="K9" i="5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N7" i="6"/>
  <c r="N8" i="6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I89" i="2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J89" i="2"/>
  <c r="K89" i="2"/>
  <c r="J90" i="2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K90" i="2"/>
  <c r="K91" i="2"/>
  <c r="K92" i="2"/>
  <c r="K93" i="2"/>
  <c r="K94" i="2"/>
  <c r="K95" i="2"/>
  <c r="K96" i="2"/>
  <c r="K97" i="2"/>
  <c r="K98" i="2"/>
  <c r="K99" i="2"/>
  <c r="K100" i="2"/>
  <c r="K101" i="2"/>
  <c r="Q90" i="2"/>
  <c r="Q91" i="2"/>
  <c r="Q92" i="2"/>
  <c r="Q93" i="2"/>
  <c r="Q94" i="2"/>
  <c r="Q95" i="2"/>
  <c r="Q96" i="2"/>
  <c r="Q97" i="2"/>
  <c r="Q98" i="2"/>
  <c r="Q99" i="2"/>
  <c r="Q100" i="2"/>
  <c r="Q101" i="2"/>
  <c r="N90" i="2"/>
  <c r="P85" i="1"/>
  <c r="P86" i="1"/>
  <c r="P87" i="1"/>
  <c r="P88" i="1"/>
  <c r="P89" i="1"/>
  <c r="P90" i="1"/>
  <c r="P91" i="1"/>
  <c r="P92" i="1"/>
  <c r="P93" i="1"/>
  <c r="P94" i="1"/>
  <c r="P95" i="1"/>
  <c r="P96" i="1"/>
  <c r="J85" i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K85" i="1"/>
  <c r="K86" i="1"/>
  <c r="K87" i="1"/>
  <c r="K88" i="1"/>
  <c r="K89" i="1"/>
  <c r="K90" i="1"/>
  <c r="K91" i="1"/>
  <c r="K92" i="1"/>
  <c r="K93" i="1"/>
  <c r="K94" i="1"/>
  <c r="K95" i="1"/>
  <c r="K96" i="1"/>
  <c r="I86" i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85" i="1"/>
  <c r="N85" i="1"/>
  <c r="J5" i="27"/>
  <c r="J6" i="27" s="1"/>
  <c r="J7" i="27" s="1"/>
  <c r="J8" i="27" s="1"/>
  <c r="J9" i="27" s="1"/>
  <c r="J10" i="27" s="1"/>
  <c r="K5" i="27"/>
  <c r="K6" i="27"/>
  <c r="K7" i="27"/>
  <c r="K8" i="27"/>
  <c r="K9" i="27"/>
  <c r="K10" i="27"/>
  <c r="I5" i="27"/>
  <c r="I6" i="27" s="1"/>
  <c r="I7" i="27" s="1"/>
  <c r="I8" i="27" s="1"/>
  <c r="I9" i="27" s="1"/>
  <c r="I10" i="27" s="1"/>
  <c r="P4" i="27"/>
  <c r="P5" i="27"/>
  <c r="P6" i="27"/>
  <c r="P7" i="27"/>
  <c r="P8" i="27"/>
  <c r="P9" i="27"/>
  <c r="P10" i="27"/>
  <c r="N4" i="27"/>
  <c r="J4" i="27"/>
  <c r="I4" i="27"/>
  <c r="A85" i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0" i="2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3" i="2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N98" i="2"/>
  <c r="N99" i="2"/>
  <c r="N94" i="1"/>
  <c r="N93" i="1"/>
  <c r="K19" i="18"/>
  <c r="K35" i="18"/>
  <c r="K51" i="18"/>
  <c r="K67" i="18"/>
  <c r="K83" i="18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K131" i="18" s="1"/>
  <c r="N39" i="6"/>
  <c r="N40" i="6"/>
  <c r="N41" i="6"/>
  <c r="N38" i="5"/>
  <c r="N39" i="5"/>
  <c r="N40" i="5"/>
  <c r="N37" i="2"/>
  <c r="N38" i="2"/>
  <c r="N39" i="2"/>
  <c r="N40" i="2"/>
  <c r="P13" i="18"/>
  <c r="N13" i="18"/>
  <c r="E3" i="43"/>
  <c r="E4" i="43"/>
  <c r="E5" i="43"/>
  <c r="E6" i="43"/>
  <c r="E7" i="43"/>
  <c r="E8" i="43"/>
  <c r="E9" i="43"/>
  <c r="E10" i="43"/>
  <c r="E11" i="43"/>
  <c r="E12" i="43"/>
  <c r="E13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E105" i="43"/>
  <c r="E106" i="43"/>
  <c r="E107" i="43"/>
  <c r="E108" i="43"/>
  <c r="E2" i="43"/>
  <c r="J4" i="34"/>
  <c r="J5" i="34" s="1"/>
  <c r="J6" i="34" s="1"/>
  <c r="J7" i="34" s="1"/>
  <c r="J8" i="34" s="1"/>
  <c r="A23" i="6" l="1"/>
  <c r="K79" i="18"/>
  <c r="K63" i="18"/>
  <c r="K47" i="18"/>
  <c r="K31" i="18"/>
  <c r="K15" i="18"/>
  <c r="K75" i="18"/>
  <c r="K59" i="18"/>
  <c r="K43" i="18"/>
  <c r="K27" i="18"/>
  <c r="K11" i="18"/>
  <c r="K87" i="18"/>
  <c r="K71" i="18"/>
  <c r="K55" i="18"/>
  <c r="K39" i="18"/>
  <c r="K23" i="18"/>
  <c r="K7" i="18"/>
  <c r="K123" i="18"/>
  <c r="K111" i="18"/>
  <c r="K103" i="18"/>
  <c r="K95" i="18"/>
  <c r="K130" i="18"/>
  <c r="K126" i="18"/>
  <c r="K122" i="18"/>
  <c r="K118" i="18"/>
  <c r="K114" i="18"/>
  <c r="K110" i="18"/>
  <c r="K106" i="18"/>
  <c r="K102" i="18"/>
  <c r="K98" i="18"/>
  <c r="K94" i="18"/>
  <c r="K90" i="18"/>
  <c r="K86" i="18"/>
  <c r="K82" i="18"/>
  <c r="K78" i="18"/>
  <c r="K74" i="18"/>
  <c r="K70" i="18"/>
  <c r="K66" i="18"/>
  <c r="K62" i="18"/>
  <c r="K58" i="18"/>
  <c r="K54" i="18"/>
  <c r="K50" i="18"/>
  <c r="K46" i="18"/>
  <c r="K42" i="18"/>
  <c r="K38" i="18"/>
  <c r="K34" i="18"/>
  <c r="K30" i="18"/>
  <c r="K26" i="18"/>
  <c r="K22" i="18"/>
  <c r="K18" i="18"/>
  <c r="K14" i="18"/>
  <c r="K10" i="18"/>
  <c r="K6" i="18"/>
  <c r="K127" i="18"/>
  <c r="K119" i="18"/>
  <c r="K115" i="18"/>
  <c r="K107" i="18"/>
  <c r="K99" i="18"/>
  <c r="K91" i="18"/>
  <c r="K129" i="18"/>
  <c r="K125" i="18"/>
  <c r="K121" i="18"/>
  <c r="K117" i="18"/>
  <c r="K113" i="18"/>
  <c r="K109" i="18"/>
  <c r="K105" i="18"/>
  <c r="K101" i="18"/>
  <c r="K97" i="18"/>
  <c r="K93" i="18"/>
  <c r="K89" i="18"/>
  <c r="K85" i="18"/>
  <c r="K81" i="18"/>
  <c r="K77" i="18"/>
  <c r="K73" i="18"/>
  <c r="K69" i="18"/>
  <c r="K65" i="18"/>
  <c r="K61" i="18"/>
  <c r="K57" i="18"/>
  <c r="K53" i="18"/>
  <c r="K49" i="18"/>
  <c r="K45" i="18"/>
  <c r="K41" i="18"/>
  <c r="K37" i="18"/>
  <c r="K33" i="18"/>
  <c r="K29" i="18"/>
  <c r="K25" i="18"/>
  <c r="K21" i="18"/>
  <c r="K17" i="18"/>
  <c r="K13" i="18"/>
  <c r="K9" i="18"/>
  <c r="K5" i="18"/>
  <c r="K128" i="18"/>
  <c r="K124" i="18"/>
  <c r="K120" i="18"/>
  <c r="K116" i="18"/>
  <c r="K112" i="18"/>
  <c r="K108" i="18"/>
  <c r="K104" i="18"/>
  <c r="K100" i="18"/>
  <c r="K96" i="18"/>
  <c r="K92" i="18"/>
  <c r="K88" i="18"/>
  <c r="K84" i="18"/>
  <c r="K80" i="18"/>
  <c r="K76" i="18"/>
  <c r="K72" i="18"/>
  <c r="K68" i="18"/>
  <c r="K64" i="18"/>
  <c r="K60" i="18"/>
  <c r="K56" i="18"/>
  <c r="K52" i="18"/>
  <c r="K48" i="18"/>
  <c r="K44" i="18"/>
  <c r="K40" i="18"/>
  <c r="K36" i="18"/>
  <c r="K32" i="18"/>
  <c r="K28" i="18"/>
  <c r="K24" i="18"/>
  <c r="K20" i="18"/>
  <c r="K16" i="18"/>
  <c r="K12" i="18"/>
  <c r="K8" i="18"/>
  <c r="N27" i="2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6" i="1"/>
  <c r="N87" i="1"/>
  <c r="N88" i="1"/>
  <c r="N89" i="1"/>
  <c r="N90" i="1"/>
  <c r="N91" i="1"/>
  <c r="N92" i="1"/>
  <c r="N95" i="1"/>
  <c r="N96" i="1"/>
  <c r="N67" i="1"/>
  <c r="N27" i="1"/>
  <c r="P27" i="1"/>
  <c r="N28" i="1"/>
  <c r="P28" i="1"/>
  <c r="T17" i="1"/>
  <c r="N6" i="23"/>
  <c r="P6" i="23"/>
  <c r="N7" i="23"/>
  <c r="P7" i="23"/>
  <c r="N8" i="23"/>
  <c r="P8" i="23"/>
  <c r="P4" i="39"/>
  <c r="P5" i="39"/>
  <c r="P6" i="39"/>
  <c r="P7" i="39"/>
  <c r="P8" i="39"/>
  <c r="P3" i="39"/>
  <c r="N4" i="39"/>
  <c r="J4" i="39"/>
  <c r="J5" i="39" s="1"/>
  <c r="J6" i="39" s="1"/>
  <c r="J7" i="39" s="1"/>
  <c r="J8" i="39" s="1"/>
  <c r="I4" i="39"/>
  <c r="P4" i="20"/>
  <c r="P5" i="20"/>
  <c r="P6" i="20"/>
  <c r="P7" i="20"/>
  <c r="P8" i="20"/>
  <c r="P9" i="20"/>
  <c r="N4" i="20"/>
  <c r="N5" i="20"/>
  <c r="N6" i="20"/>
  <c r="N7" i="20"/>
  <c r="N8" i="20"/>
  <c r="N9" i="20"/>
  <c r="J4" i="20"/>
  <c r="J5" i="20" s="1"/>
  <c r="J6" i="20" s="1"/>
  <c r="J7" i="20" s="1"/>
  <c r="J8" i="20" s="1"/>
  <c r="J9" i="20" s="1"/>
  <c r="I4" i="20"/>
  <c r="I5" i="20" s="1"/>
  <c r="I6" i="20" s="1"/>
  <c r="I7" i="20" s="1"/>
  <c r="I8" i="20" s="1"/>
  <c r="I9" i="20" s="1"/>
  <c r="N8" i="36"/>
  <c r="P8" i="36"/>
  <c r="N9" i="36"/>
  <c r="P9" i="36"/>
  <c r="N10" i="36"/>
  <c r="P10" i="36"/>
  <c r="N11" i="36"/>
  <c r="P11" i="36"/>
  <c r="N12" i="36"/>
  <c r="P12" i="36"/>
  <c r="P4" i="35"/>
  <c r="P7" i="35"/>
  <c r="P8" i="35"/>
  <c r="P9" i="35"/>
  <c r="P10" i="35"/>
  <c r="N4" i="35"/>
  <c r="N5" i="35"/>
  <c r="N6" i="35"/>
  <c r="N7" i="35"/>
  <c r="N8" i="35"/>
  <c r="N9" i="35"/>
  <c r="N10" i="35"/>
  <c r="J4" i="35"/>
  <c r="J5" i="35" s="1"/>
  <c r="J6" i="35" s="1"/>
  <c r="J7" i="35" s="1"/>
  <c r="J8" i="35" s="1"/>
  <c r="J9" i="35" s="1"/>
  <c r="J10" i="35" s="1"/>
  <c r="I4" i="35"/>
  <c r="P4" i="32"/>
  <c r="P5" i="32"/>
  <c r="P6" i="32"/>
  <c r="P7" i="32"/>
  <c r="P8" i="32"/>
  <c r="P9" i="32"/>
  <c r="P10" i="32"/>
  <c r="P11" i="32"/>
  <c r="N4" i="32"/>
  <c r="N5" i="32"/>
  <c r="N6" i="32"/>
  <c r="N7" i="32"/>
  <c r="N8" i="32"/>
  <c r="N9" i="32"/>
  <c r="N10" i="32"/>
  <c r="N11" i="32"/>
  <c r="J4" i="32"/>
  <c r="J5" i="32" s="1"/>
  <c r="J6" i="32" s="1"/>
  <c r="J7" i="32" s="1"/>
  <c r="J8" i="32" s="1"/>
  <c r="J9" i="32" s="1"/>
  <c r="J10" i="32" s="1"/>
  <c r="J11" i="32" s="1"/>
  <c r="I4" i="32"/>
  <c r="I5" i="32" s="1"/>
  <c r="I6" i="32" s="1"/>
  <c r="I7" i="32" s="1"/>
  <c r="I8" i="32" s="1"/>
  <c r="I9" i="32" s="1"/>
  <c r="I10" i="32" s="1"/>
  <c r="I11" i="32" s="1"/>
  <c r="P10" i="31"/>
  <c r="P11" i="31"/>
  <c r="P12" i="31"/>
  <c r="P13" i="31"/>
  <c r="P14" i="31"/>
  <c r="P15" i="31"/>
  <c r="P16" i="31"/>
  <c r="P17" i="31"/>
  <c r="N15" i="31"/>
  <c r="N10" i="31"/>
  <c r="J4" i="30"/>
  <c r="J5" i="30" s="1"/>
  <c r="J6" i="30" s="1"/>
  <c r="J7" i="30" s="1"/>
  <c r="J8" i="30" s="1"/>
  <c r="J9" i="30" s="1"/>
  <c r="J10" i="30" s="1"/>
  <c r="J11" i="30" s="1"/>
  <c r="J12" i="30" s="1"/>
  <c r="N4" i="30"/>
  <c r="P4" i="30"/>
  <c r="P5" i="30"/>
  <c r="P6" i="30"/>
  <c r="P7" i="30"/>
  <c r="P8" i="30"/>
  <c r="P9" i="30"/>
  <c r="P10" i="30"/>
  <c r="P11" i="30"/>
  <c r="P12" i="30"/>
  <c r="P3" i="30"/>
  <c r="I4" i="30"/>
  <c r="P11" i="29"/>
  <c r="P12" i="29"/>
  <c r="P13" i="29"/>
  <c r="N12" i="29"/>
  <c r="N13" i="29"/>
  <c r="N11" i="29"/>
  <c r="A24" i="6" l="1"/>
  <c r="K8" i="9"/>
  <c r="P8" i="9"/>
  <c r="N8" i="9"/>
  <c r="I4" i="10"/>
  <c r="I5" i="10" s="1"/>
  <c r="I6" i="10" s="1"/>
  <c r="I7" i="10" s="1"/>
  <c r="I8" i="10" s="1"/>
  <c r="P5" i="10"/>
  <c r="N5" i="10"/>
  <c r="P6" i="10"/>
  <c r="N6" i="10"/>
  <c r="P7" i="10"/>
  <c r="N7" i="10"/>
  <c r="P8" i="10"/>
  <c r="N8" i="10"/>
  <c r="P4" i="10"/>
  <c r="N4" i="10"/>
  <c r="J4" i="10"/>
  <c r="J5" i="10" s="1"/>
  <c r="J6" i="10" s="1"/>
  <c r="J7" i="10" s="1"/>
  <c r="J8" i="10" s="1"/>
  <c r="I4" i="8"/>
  <c r="I5" i="8" s="1"/>
  <c r="I6" i="8" s="1"/>
  <c r="I7" i="8" s="1"/>
  <c r="I4" i="7"/>
  <c r="I5" i="7" s="1"/>
  <c r="I6" i="7" s="1"/>
  <c r="A25" i="6" l="1"/>
  <c r="I4" i="4"/>
  <c r="I5" i="4" s="1"/>
  <c r="I6" i="4" s="1"/>
  <c r="I7" i="4" s="1"/>
  <c r="I8" i="4" s="1"/>
  <c r="N4" i="4"/>
  <c r="N5" i="4"/>
  <c r="N6" i="4"/>
  <c r="N7" i="4"/>
  <c r="N8" i="4"/>
  <c r="N3" i="4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13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65" i="6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12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64" i="5"/>
  <c r="I4" i="2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A26" i="6" l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A27" i="6" l="1"/>
  <c r="N8" i="39"/>
  <c r="N7" i="39"/>
  <c r="N6" i="39"/>
  <c r="N5" i="39"/>
  <c r="I5" i="39"/>
  <c r="I6" i="39" s="1"/>
  <c r="I7" i="39" s="1"/>
  <c r="I8" i="39" s="1"/>
  <c r="N3" i="39"/>
  <c r="A3" i="39"/>
  <c r="A4" i="39" s="1"/>
  <c r="N3" i="20"/>
  <c r="P3" i="20"/>
  <c r="A3" i="20"/>
  <c r="A4" i="20" s="1"/>
  <c r="P4" i="38"/>
  <c r="N4" i="38"/>
  <c r="P5" i="38"/>
  <c r="N5" i="38"/>
  <c r="P6" i="38"/>
  <c r="N6" i="38"/>
  <c r="P7" i="38"/>
  <c r="N7" i="38"/>
  <c r="P8" i="38"/>
  <c r="N8" i="38"/>
  <c r="P3" i="38"/>
  <c r="I4" i="38"/>
  <c r="I5" i="38" s="1"/>
  <c r="I6" i="38" s="1"/>
  <c r="I7" i="38" s="1"/>
  <c r="I8" i="38" s="1"/>
  <c r="N3" i="38"/>
  <c r="A3" i="38"/>
  <c r="K3" i="38" s="1"/>
  <c r="P4" i="37"/>
  <c r="N4" i="37"/>
  <c r="P5" i="37"/>
  <c r="N5" i="37"/>
  <c r="P6" i="37"/>
  <c r="N6" i="37"/>
  <c r="P7" i="37"/>
  <c r="N7" i="37"/>
  <c r="P8" i="37"/>
  <c r="N8" i="37"/>
  <c r="P9" i="37"/>
  <c r="N9" i="37"/>
  <c r="P3" i="37"/>
  <c r="I4" i="37"/>
  <c r="I5" i="37" s="1"/>
  <c r="I6" i="37" s="1"/>
  <c r="I7" i="37" s="1"/>
  <c r="I8" i="37" s="1"/>
  <c r="I9" i="37" s="1"/>
  <c r="N3" i="37"/>
  <c r="A3" i="37"/>
  <c r="K3" i="37" s="1"/>
  <c r="P5" i="36"/>
  <c r="P6" i="36"/>
  <c r="P7" i="36"/>
  <c r="N7" i="36"/>
  <c r="N6" i="36"/>
  <c r="N5" i="36"/>
  <c r="N4" i="36"/>
  <c r="I4" i="36"/>
  <c r="I5" i="36" s="1"/>
  <c r="I6" i="36" s="1"/>
  <c r="I7" i="36" s="1"/>
  <c r="I8" i="36" s="1"/>
  <c r="I9" i="36" s="1"/>
  <c r="I10" i="36" s="1"/>
  <c r="I11" i="36" s="1"/>
  <c r="I12" i="36" s="1"/>
  <c r="B3" i="36"/>
  <c r="P4" i="36" s="1"/>
  <c r="N3" i="36"/>
  <c r="A3" i="36"/>
  <c r="K3" i="36" s="1"/>
  <c r="B5" i="35"/>
  <c r="I5" i="35"/>
  <c r="I6" i="35" s="1"/>
  <c r="I7" i="35" s="1"/>
  <c r="I8" i="35" s="1"/>
  <c r="I9" i="35" s="1"/>
  <c r="I10" i="35" s="1"/>
  <c r="N3" i="35"/>
  <c r="P3" i="35"/>
  <c r="A3" i="35"/>
  <c r="A4" i="35" s="1"/>
  <c r="P8" i="34"/>
  <c r="N8" i="34"/>
  <c r="I4" i="34"/>
  <c r="I5" i="34" s="1"/>
  <c r="I6" i="34" s="1"/>
  <c r="I7" i="34" s="1"/>
  <c r="I8" i="34" s="1"/>
  <c r="P5" i="34"/>
  <c r="N5" i="34"/>
  <c r="P6" i="34"/>
  <c r="N6" i="34"/>
  <c r="P7" i="34"/>
  <c r="N7" i="34"/>
  <c r="P4" i="34"/>
  <c r="N4" i="34"/>
  <c r="N3" i="34"/>
  <c r="P3" i="34"/>
  <c r="A3" i="34"/>
  <c r="A4" i="34" s="1"/>
  <c r="P4" i="33"/>
  <c r="P5" i="33"/>
  <c r="P6" i="33"/>
  <c r="P7" i="33"/>
  <c r="P8" i="33"/>
  <c r="N8" i="33"/>
  <c r="N7" i="33"/>
  <c r="N6" i="33"/>
  <c r="N5" i="33"/>
  <c r="N4" i="33"/>
  <c r="I4" i="33"/>
  <c r="I5" i="33" s="1"/>
  <c r="I6" i="33" s="1"/>
  <c r="I7" i="33" s="1"/>
  <c r="I8" i="33" s="1"/>
  <c r="N3" i="33"/>
  <c r="P3" i="33"/>
  <c r="A3" i="33"/>
  <c r="A4" i="33" s="1"/>
  <c r="N3" i="32"/>
  <c r="N4" i="31"/>
  <c r="N5" i="31"/>
  <c r="N6" i="31"/>
  <c r="N7" i="31"/>
  <c r="N8" i="31"/>
  <c r="N9" i="31"/>
  <c r="N11" i="31"/>
  <c r="N12" i="31"/>
  <c r="N13" i="31"/>
  <c r="N14" i="31"/>
  <c r="N16" i="31"/>
  <c r="N17" i="31"/>
  <c r="N3" i="31"/>
  <c r="P3" i="32"/>
  <c r="A3" i="32"/>
  <c r="A4" i="32" s="1"/>
  <c r="P8" i="31"/>
  <c r="P9" i="31"/>
  <c r="B6" i="31"/>
  <c r="B5" i="31" s="1"/>
  <c r="B4" i="31" s="1"/>
  <c r="B3" i="31" s="1"/>
  <c r="I4" i="31"/>
  <c r="I5" i="31" s="1"/>
  <c r="I6" i="31" s="1"/>
  <c r="I7" i="31" s="1"/>
  <c r="I8" i="31" s="1"/>
  <c r="I9" i="31" s="1"/>
  <c r="I10" i="31" s="1"/>
  <c r="I11" i="31" s="1"/>
  <c r="I12" i="31" s="1"/>
  <c r="I13" i="31" s="1"/>
  <c r="I14" i="31" s="1"/>
  <c r="I15" i="31" s="1"/>
  <c r="I16" i="31" s="1"/>
  <c r="I17" i="31" s="1"/>
  <c r="A3" i="31"/>
  <c r="K3" i="31" s="1"/>
  <c r="N10" i="29"/>
  <c r="N10" i="30"/>
  <c r="N11" i="30"/>
  <c r="N12" i="30"/>
  <c r="N9" i="30"/>
  <c r="N8" i="30"/>
  <c r="N7" i="30"/>
  <c r="N6" i="30"/>
  <c r="N5" i="30"/>
  <c r="I5" i="30"/>
  <c r="I6" i="30" s="1"/>
  <c r="I7" i="30" s="1"/>
  <c r="I8" i="30" s="1"/>
  <c r="I9" i="30" s="1"/>
  <c r="I10" i="30" s="1"/>
  <c r="I11" i="30" s="1"/>
  <c r="I12" i="30" s="1"/>
  <c r="N3" i="30"/>
  <c r="A3" i="30"/>
  <c r="A4" i="30" s="1"/>
  <c r="P9" i="29"/>
  <c r="N9" i="29"/>
  <c r="P10" i="29"/>
  <c r="N4" i="29"/>
  <c r="N5" i="29"/>
  <c r="N6" i="29"/>
  <c r="N7" i="29"/>
  <c r="N8" i="29"/>
  <c r="N3" i="29"/>
  <c r="P5" i="29"/>
  <c r="P6" i="29"/>
  <c r="P7" i="29"/>
  <c r="P8" i="29"/>
  <c r="P4" i="29"/>
  <c r="I4" i="29"/>
  <c r="I5" i="29" s="1"/>
  <c r="I6" i="29" s="1"/>
  <c r="I7" i="29" s="1"/>
  <c r="I8" i="29" s="1"/>
  <c r="I9" i="29" s="1"/>
  <c r="I10" i="29" s="1"/>
  <c r="I11" i="29" s="1"/>
  <c r="I12" i="29" s="1"/>
  <c r="I13" i="29" s="1"/>
  <c r="P3" i="29"/>
  <c r="A3" i="29"/>
  <c r="A4" i="29" s="1"/>
  <c r="A5" i="29" s="1"/>
  <c r="A6" i="29" s="1"/>
  <c r="A7" i="29" s="1"/>
  <c r="A8" i="29" s="1"/>
  <c r="A9" i="29" s="1"/>
  <c r="P4" i="28"/>
  <c r="P5" i="28"/>
  <c r="P6" i="28"/>
  <c r="P7" i="28"/>
  <c r="P3" i="28"/>
  <c r="N7" i="28"/>
  <c r="N6" i="28"/>
  <c r="N5" i="28"/>
  <c r="I5" i="28"/>
  <c r="I6" i="28" s="1"/>
  <c r="I7" i="28" s="1"/>
  <c r="N4" i="28"/>
  <c r="I4" i="28"/>
  <c r="N3" i="28"/>
  <c r="A3" i="28"/>
  <c r="K3" i="28" s="1"/>
  <c r="P3" i="27"/>
  <c r="N6" i="27"/>
  <c r="N7" i="27"/>
  <c r="N8" i="27"/>
  <c r="N9" i="27"/>
  <c r="N10" i="27"/>
  <c r="N5" i="27"/>
  <c r="N3" i="27"/>
  <c r="A3" i="27"/>
  <c r="A4" i="27" s="1"/>
  <c r="N4" i="26"/>
  <c r="P4" i="26"/>
  <c r="I4" i="26"/>
  <c r="N3" i="26"/>
  <c r="P3" i="26"/>
  <c r="A3" i="26"/>
  <c r="K3" i="26" s="1"/>
  <c r="P53" i="21"/>
  <c r="N53" i="21"/>
  <c r="P4" i="25"/>
  <c r="P5" i="25"/>
  <c r="P3" i="25"/>
  <c r="N3" i="25"/>
  <c r="N4" i="25"/>
  <c r="N5" i="25"/>
  <c r="I4" i="25"/>
  <c r="I5" i="25" s="1"/>
  <c r="A3" i="25"/>
  <c r="A4" i="25" s="1"/>
  <c r="B6" i="24"/>
  <c r="P7" i="24" s="1"/>
  <c r="K7" i="24"/>
  <c r="N7" i="24"/>
  <c r="K8" i="24"/>
  <c r="P8" i="24"/>
  <c r="N8" i="24"/>
  <c r="N3" i="24"/>
  <c r="N4" i="24"/>
  <c r="N5" i="24"/>
  <c r="N6" i="24"/>
  <c r="K7" i="8"/>
  <c r="P7" i="8"/>
  <c r="N7" i="8"/>
  <c r="I4" i="24"/>
  <c r="I5" i="24" s="1"/>
  <c r="I6" i="24" s="1"/>
  <c r="I7" i="24" s="1"/>
  <c r="I8" i="24" s="1"/>
  <c r="P5" i="24"/>
  <c r="P4" i="24"/>
  <c r="A3" i="24"/>
  <c r="K3" i="24" s="1"/>
  <c r="P3" i="24"/>
  <c r="N4" i="23"/>
  <c r="N5" i="23"/>
  <c r="N3" i="23"/>
  <c r="P5" i="23"/>
  <c r="P4" i="23"/>
  <c r="J4" i="23"/>
  <c r="J5" i="23" s="1"/>
  <c r="J6" i="23" s="1"/>
  <c r="J7" i="23" s="1"/>
  <c r="J8" i="23" s="1"/>
  <c r="I4" i="23"/>
  <c r="I5" i="23" s="1"/>
  <c r="I6" i="23" s="1"/>
  <c r="I7" i="23" s="1"/>
  <c r="I8" i="23" s="1"/>
  <c r="P3" i="23"/>
  <c r="A3" i="23"/>
  <c r="K3" i="23" s="1"/>
  <c r="N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00" i="21"/>
  <c r="P8" i="22"/>
  <c r="N8" i="22"/>
  <c r="P5" i="22"/>
  <c r="N5" i="22"/>
  <c r="P6" i="22"/>
  <c r="N6" i="22"/>
  <c r="P7" i="22"/>
  <c r="N7" i="22"/>
  <c r="P4" i="22"/>
  <c r="P3" i="22"/>
  <c r="N4" i="22"/>
  <c r="N3" i="22"/>
  <c r="J4" i="22"/>
  <c r="J5" i="22" s="1"/>
  <c r="J6" i="22" s="1"/>
  <c r="J7" i="22" s="1"/>
  <c r="J8" i="22" s="1"/>
  <c r="I4" i="22"/>
  <c r="I5" i="22" s="1"/>
  <c r="I6" i="22" s="1"/>
  <c r="I7" i="22" s="1"/>
  <c r="I8" i="22" s="1"/>
  <c r="A3" i="22"/>
  <c r="A4" i="22" s="1"/>
  <c r="K4" i="22" s="1"/>
  <c r="N133" i="21"/>
  <c r="N132" i="21"/>
  <c r="N131" i="21"/>
  <c r="N130" i="21"/>
  <c r="N129" i="21"/>
  <c r="N128" i="21"/>
  <c r="N127" i="21"/>
  <c r="N126" i="21"/>
  <c r="N125" i="21"/>
  <c r="N124" i="21"/>
  <c r="N123" i="21"/>
  <c r="N122" i="21"/>
  <c r="N121" i="21"/>
  <c r="N120" i="21"/>
  <c r="N119" i="21"/>
  <c r="N118" i="21"/>
  <c r="N117" i="21"/>
  <c r="N116" i="21"/>
  <c r="N115" i="21"/>
  <c r="N114" i="21"/>
  <c r="N113" i="21"/>
  <c r="N112" i="21"/>
  <c r="N111" i="21"/>
  <c r="N110" i="21"/>
  <c r="N109" i="21"/>
  <c r="N108" i="21"/>
  <c r="N107" i="21"/>
  <c r="N106" i="21"/>
  <c r="N105" i="21"/>
  <c r="N104" i="21"/>
  <c r="N103" i="21"/>
  <c r="N102" i="21"/>
  <c r="N101" i="21"/>
  <c r="N99" i="21"/>
  <c r="N98" i="21"/>
  <c r="N97" i="21"/>
  <c r="N96" i="21"/>
  <c r="N95" i="21"/>
  <c r="N94" i="21"/>
  <c r="N93" i="21"/>
  <c r="N92" i="21"/>
  <c r="N91" i="21"/>
  <c r="N90" i="21"/>
  <c r="N89" i="21"/>
  <c r="N88" i="21"/>
  <c r="N87" i="21"/>
  <c r="N86" i="21"/>
  <c r="N85" i="21"/>
  <c r="N84" i="21"/>
  <c r="N83" i="21"/>
  <c r="N82" i="21"/>
  <c r="N81" i="21"/>
  <c r="N80" i="21"/>
  <c r="N79" i="21"/>
  <c r="N78" i="21"/>
  <c r="N77" i="21"/>
  <c r="N76" i="21"/>
  <c r="N75" i="21"/>
  <c r="N74" i="21"/>
  <c r="N73" i="21"/>
  <c r="N72" i="21"/>
  <c r="N71" i="21"/>
  <c r="N70" i="21"/>
  <c r="N69" i="21"/>
  <c r="N68" i="21"/>
  <c r="N67" i="21"/>
  <c r="N66" i="21"/>
  <c r="N65" i="21"/>
  <c r="N64" i="21"/>
  <c r="N63" i="21"/>
  <c r="N62" i="21"/>
  <c r="N61" i="21"/>
  <c r="N60" i="21"/>
  <c r="N59" i="21"/>
  <c r="N58" i="21"/>
  <c r="N57" i="21"/>
  <c r="N56" i="21"/>
  <c r="N55" i="21"/>
  <c r="N54" i="21"/>
  <c r="N52" i="21"/>
  <c r="N51" i="21"/>
  <c r="N50" i="21"/>
  <c r="N49" i="21"/>
  <c r="N48" i="21"/>
  <c r="N47" i="21"/>
  <c r="N46" i="21"/>
  <c r="N45" i="21"/>
  <c r="N44" i="21"/>
  <c r="N43" i="21"/>
  <c r="N42" i="21"/>
  <c r="N41" i="21"/>
  <c r="N40" i="21"/>
  <c r="N39" i="21"/>
  <c r="N38" i="21"/>
  <c r="N37" i="21"/>
  <c r="N36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N22" i="21"/>
  <c r="N21" i="21"/>
  <c r="N20" i="21"/>
  <c r="N19" i="21"/>
  <c r="N18" i="21"/>
  <c r="N17" i="21"/>
  <c r="N16" i="21"/>
  <c r="N15" i="21"/>
  <c r="N14" i="21"/>
  <c r="N13" i="21"/>
  <c r="N12" i="21"/>
  <c r="N11" i="21"/>
  <c r="N10" i="21"/>
  <c r="N9" i="21"/>
  <c r="N8" i="21"/>
  <c r="N7" i="21"/>
  <c r="N6" i="21"/>
  <c r="N5" i="21"/>
  <c r="N4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3" i="21"/>
  <c r="I4" i="21"/>
  <c r="J4" i="21"/>
  <c r="J5" i="21" s="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48" i="21" s="1"/>
  <c r="J49" i="21" s="1"/>
  <c r="J50" i="21" s="1"/>
  <c r="J51" i="21" s="1"/>
  <c r="J52" i="21" s="1"/>
  <c r="J54" i="21" s="1"/>
  <c r="J55" i="21" s="1"/>
  <c r="J56" i="21" s="1"/>
  <c r="J57" i="21" s="1"/>
  <c r="J58" i="21" s="1"/>
  <c r="J59" i="21" s="1"/>
  <c r="J60" i="21" s="1"/>
  <c r="J61" i="21" s="1"/>
  <c r="J62" i="21" s="1"/>
  <c r="J63" i="21" s="1"/>
  <c r="J64" i="21" s="1"/>
  <c r="J65" i="21" s="1"/>
  <c r="J66" i="21" s="1"/>
  <c r="J67" i="21" s="1"/>
  <c r="J68" i="21" s="1"/>
  <c r="J69" i="21" s="1"/>
  <c r="J70" i="21" s="1"/>
  <c r="J71" i="21" s="1"/>
  <c r="J72" i="21" s="1"/>
  <c r="J73" i="21" s="1"/>
  <c r="J74" i="21" s="1"/>
  <c r="J75" i="21" s="1"/>
  <c r="J76" i="21" s="1"/>
  <c r="J77" i="21" s="1"/>
  <c r="J78" i="21" s="1"/>
  <c r="J79" i="21" s="1"/>
  <c r="J80" i="21" s="1"/>
  <c r="J81" i="21" s="1"/>
  <c r="J82" i="21" s="1"/>
  <c r="J83" i="21" s="1"/>
  <c r="J84" i="21" s="1"/>
  <c r="J85" i="21" s="1"/>
  <c r="J86" i="21" s="1"/>
  <c r="J87" i="21" s="1"/>
  <c r="J88" i="21" s="1"/>
  <c r="J89" i="21" s="1"/>
  <c r="J90" i="21" s="1"/>
  <c r="J91" i="21" s="1"/>
  <c r="J92" i="21" s="1"/>
  <c r="J93" i="21" s="1"/>
  <c r="J94" i="21" s="1"/>
  <c r="J95" i="21" s="1"/>
  <c r="J96" i="21" s="1"/>
  <c r="J97" i="21" s="1"/>
  <c r="J98" i="21" s="1"/>
  <c r="J99" i="21" s="1"/>
  <c r="J100" i="21" s="1"/>
  <c r="J101" i="21" s="1"/>
  <c r="J102" i="21" s="1"/>
  <c r="J103" i="21" s="1"/>
  <c r="J104" i="21" s="1"/>
  <c r="J105" i="21" s="1"/>
  <c r="J106" i="21" s="1"/>
  <c r="J107" i="21" s="1"/>
  <c r="J108" i="21" s="1"/>
  <c r="J109" i="21" s="1"/>
  <c r="J110" i="21" s="1"/>
  <c r="J111" i="21" s="1"/>
  <c r="J112" i="21" s="1"/>
  <c r="J113" i="21" s="1"/>
  <c r="J114" i="21" s="1"/>
  <c r="J115" i="21" s="1"/>
  <c r="J116" i="21" s="1"/>
  <c r="J117" i="21" s="1"/>
  <c r="J118" i="21" s="1"/>
  <c r="J119" i="21" s="1"/>
  <c r="J120" i="21" s="1"/>
  <c r="J121" i="21" s="1"/>
  <c r="J122" i="21" s="1"/>
  <c r="J123" i="21" s="1"/>
  <c r="J124" i="21" s="1"/>
  <c r="J125" i="21" s="1"/>
  <c r="J126" i="21" s="1"/>
  <c r="J127" i="21" s="1"/>
  <c r="J128" i="21" s="1"/>
  <c r="J129" i="21" s="1"/>
  <c r="J130" i="21" s="1"/>
  <c r="J131" i="21" s="1"/>
  <c r="J132" i="21" s="1"/>
  <c r="J133" i="21" s="1"/>
  <c r="I5" i="2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I22" i="21" s="1"/>
  <c r="I23" i="21" s="1"/>
  <c r="I24" i="21" s="1"/>
  <c r="I25" i="21" s="1"/>
  <c r="I26" i="21" s="1"/>
  <c r="I27" i="21" s="1"/>
  <c r="I28" i="21" s="1"/>
  <c r="I29" i="21" s="1"/>
  <c r="I30" i="21" s="1"/>
  <c r="I31" i="21" s="1"/>
  <c r="I32" i="21" s="1"/>
  <c r="I33" i="21" s="1"/>
  <c r="I34" i="21" s="1"/>
  <c r="I35" i="21" s="1"/>
  <c r="I36" i="21" s="1"/>
  <c r="I37" i="21" s="1"/>
  <c r="I38" i="21" s="1"/>
  <c r="I39" i="21" s="1"/>
  <c r="I40" i="21" s="1"/>
  <c r="I41" i="21" s="1"/>
  <c r="I42" i="21" s="1"/>
  <c r="I43" i="21" s="1"/>
  <c r="I44" i="21" s="1"/>
  <c r="I45" i="21" s="1"/>
  <c r="I46" i="21" s="1"/>
  <c r="I47" i="21" s="1"/>
  <c r="I48" i="21" s="1"/>
  <c r="I49" i="21" s="1"/>
  <c r="I50" i="21" s="1"/>
  <c r="I51" i="21" s="1"/>
  <c r="I52" i="21" s="1"/>
  <c r="I54" i="21" s="1"/>
  <c r="I55" i="21" s="1"/>
  <c r="I56" i="21" s="1"/>
  <c r="I57" i="21" s="1"/>
  <c r="I58" i="21" s="1"/>
  <c r="I59" i="21" s="1"/>
  <c r="I60" i="21" s="1"/>
  <c r="I61" i="21" s="1"/>
  <c r="I62" i="21" s="1"/>
  <c r="I63" i="21" s="1"/>
  <c r="I64" i="21" s="1"/>
  <c r="I65" i="21" s="1"/>
  <c r="I66" i="21" s="1"/>
  <c r="I67" i="21" s="1"/>
  <c r="I68" i="21" s="1"/>
  <c r="I69" i="21" s="1"/>
  <c r="I70" i="21" s="1"/>
  <c r="I71" i="21" s="1"/>
  <c r="I72" i="21" s="1"/>
  <c r="I73" i="21" s="1"/>
  <c r="I74" i="21" s="1"/>
  <c r="I75" i="21" s="1"/>
  <c r="I76" i="21" s="1"/>
  <c r="I77" i="21" s="1"/>
  <c r="I78" i="21" s="1"/>
  <c r="I79" i="21" s="1"/>
  <c r="I80" i="21" s="1"/>
  <c r="I81" i="21" s="1"/>
  <c r="I82" i="21" s="1"/>
  <c r="I83" i="21" s="1"/>
  <c r="I84" i="21" s="1"/>
  <c r="I85" i="21" s="1"/>
  <c r="I86" i="21" s="1"/>
  <c r="I87" i="21" s="1"/>
  <c r="I88" i="21" s="1"/>
  <c r="I89" i="21" s="1"/>
  <c r="I90" i="21" s="1"/>
  <c r="I91" i="21" s="1"/>
  <c r="I92" i="21" s="1"/>
  <c r="I93" i="21" s="1"/>
  <c r="I94" i="21" s="1"/>
  <c r="I95" i="21" s="1"/>
  <c r="I96" i="21" s="1"/>
  <c r="I97" i="21" s="1"/>
  <c r="I98" i="21" s="1"/>
  <c r="I99" i="21" s="1"/>
  <c r="I100" i="21" s="1"/>
  <c r="I101" i="21" s="1"/>
  <c r="I102" i="21" s="1"/>
  <c r="I103" i="21" s="1"/>
  <c r="I104" i="21" s="1"/>
  <c r="I105" i="21" s="1"/>
  <c r="I106" i="21" s="1"/>
  <c r="I107" i="21" s="1"/>
  <c r="I108" i="21" s="1"/>
  <c r="I109" i="21" s="1"/>
  <c r="I110" i="21" s="1"/>
  <c r="I111" i="21" s="1"/>
  <c r="I112" i="21" s="1"/>
  <c r="I113" i="21" s="1"/>
  <c r="I114" i="21" s="1"/>
  <c r="I115" i="21" s="1"/>
  <c r="I116" i="21" s="1"/>
  <c r="I117" i="21" s="1"/>
  <c r="I118" i="21" s="1"/>
  <c r="I119" i="21" s="1"/>
  <c r="I120" i="21" s="1"/>
  <c r="I121" i="21" s="1"/>
  <c r="I122" i="21" s="1"/>
  <c r="I123" i="21" s="1"/>
  <c r="I124" i="21" s="1"/>
  <c r="I125" i="21" s="1"/>
  <c r="I126" i="21" s="1"/>
  <c r="I127" i="21" s="1"/>
  <c r="I128" i="21" s="1"/>
  <c r="I129" i="21" s="1"/>
  <c r="I130" i="21" s="1"/>
  <c r="I131" i="21" s="1"/>
  <c r="I132" i="21" s="1"/>
  <c r="I133" i="21" s="1"/>
  <c r="N3" i="21"/>
  <c r="A3" i="21"/>
  <c r="A4" i="21" s="1"/>
  <c r="P108" i="18"/>
  <c r="N108" i="18"/>
  <c r="P109" i="18"/>
  <c r="N109" i="18"/>
  <c r="P110" i="18"/>
  <c r="N110" i="18"/>
  <c r="P111" i="18"/>
  <c r="N111" i="18"/>
  <c r="P112" i="18"/>
  <c r="N112" i="18"/>
  <c r="P113" i="18"/>
  <c r="N113" i="18"/>
  <c r="P114" i="18"/>
  <c r="N114" i="18"/>
  <c r="P115" i="18"/>
  <c r="N115" i="18"/>
  <c r="P116" i="18"/>
  <c r="N116" i="18"/>
  <c r="P117" i="18"/>
  <c r="N117" i="18"/>
  <c r="P118" i="18"/>
  <c r="N118" i="18"/>
  <c r="P119" i="18"/>
  <c r="N119" i="18"/>
  <c r="P120" i="18"/>
  <c r="N120" i="18"/>
  <c r="P121" i="18"/>
  <c r="N121" i="18"/>
  <c r="P122" i="18"/>
  <c r="N122" i="18"/>
  <c r="P123" i="18"/>
  <c r="N123" i="18"/>
  <c r="P124" i="18"/>
  <c r="N124" i="18"/>
  <c r="P125" i="18"/>
  <c r="N125" i="18"/>
  <c r="P126" i="18"/>
  <c r="N126" i="18"/>
  <c r="P127" i="18"/>
  <c r="N127" i="18"/>
  <c r="P128" i="18"/>
  <c r="N128" i="18"/>
  <c r="P129" i="18"/>
  <c r="N129" i="18"/>
  <c r="P130" i="18"/>
  <c r="N130" i="18"/>
  <c r="P131" i="18"/>
  <c r="N131" i="18"/>
  <c r="P96" i="18"/>
  <c r="N96" i="18"/>
  <c r="P97" i="18"/>
  <c r="N97" i="18"/>
  <c r="P98" i="18"/>
  <c r="N98" i="18"/>
  <c r="P99" i="18"/>
  <c r="N99" i="18"/>
  <c r="P100" i="18"/>
  <c r="N100" i="18"/>
  <c r="P101" i="18"/>
  <c r="N101" i="18"/>
  <c r="P102" i="18"/>
  <c r="N102" i="18"/>
  <c r="P103" i="18"/>
  <c r="N103" i="18"/>
  <c r="P104" i="18"/>
  <c r="N104" i="18"/>
  <c r="P105" i="18"/>
  <c r="N105" i="18"/>
  <c r="P106" i="18"/>
  <c r="N106" i="18"/>
  <c r="P107" i="18"/>
  <c r="N107" i="18"/>
  <c r="N92" i="18"/>
  <c r="N93" i="18"/>
  <c r="N94" i="18"/>
  <c r="N95" i="18"/>
  <c r="N91" i="18"/>
  <c r="P95" i="18"/>
  <c r="N86" i="18"/>
  <c r="N87" i="18"/>
  <c r="N88" i="18"/>
  <c r="N89" i="18"/>
  <c r="N90" i="18"/>
  <c r="N85" i="18"/>
  <c r="P45" i="18"/>
  <c r="N45" i="18"/>
  <c r="P46" i="18"/>
  <c r="N46" i="18"/>
  <c r="P47" i="18"/>
  <c r="N47" i="18"/>
  <c r="P48" i="18"/>
  <c r="N48" i="18"/>
  <c r="P49" i="18"/>
  <c r="N49" i="18"/>
  <c r="P50" i="18"/>
  <c r="N50" i="18"/>
  <c r="P51" i="18"/>
  <c r="N51" i="18"/>
  <c r="P52" i="18"/>
  <c r="N52" i="18"/>
  <c r="P53" i="18"/>
  <c r="N53" i="18"/>
  <c r="P54" i="18"/>
  <c r="N54" i="18"/>
  <c r="P55" i="18"/>
  <c r="N55" i="18"/>
  <c r="P56" i="18"/>
  <c r="N56" i="18"/>
  <c r="P57" i="18"/>
  <c r="N57" i="18"/>
  <c r="P58" i="18"/>
  <c r="N58" i="18"/>
  <c r="P59" i="18"/>
  <c r="N59" i="18"/>
  <c r="P60" i="18"/>
  <c r="N60" i="18"/>
  <c r="P61" i="18"/>
  <c r="N61" i="18"/>
  <c r="P62" i="18"/>
  <c r="N62" i="18"/>
  <c r="P63" i="18"/>
  <c r="N63" i="18"/>
  <c r="P64" i="18"/>
  <c r="N64" i="18"/>
  <c r="P65" i="18"/>
  <c r="N65" i="18"/>
  <c r="P66" i="18"/>
  <c r="N66" i="18"/>
  <c r="P67" i="18"/>
  <c r="N67" i="18"/>
  <c r="P68" i="18"/>
  <c r="N68" i="18"/>
  <c r="P69" i="18"/>
  <c r="N69" i="18"/>
  <c r="P70" i="18"/>
  <c r="N70" i="18"/>
  <c r="P71" i="18"/>
  <c r="N71" i="18"/>
  <c r="P72" i="18"/>
  <c r="N72" i="18"/>
  <c r="P73" i="18"/>
  <c r="N73" i="18"/>
  <c r="P74" i="18"/>
  <c r="N74" i="18"/>
  <c r="P75" i="18"/>
  <c r="N75" i="18"/>
  <c r="P76" i="18"/>
  <c r="N76" i="18"/>
  <c r="P77" i="18"/>
  <c r="N77" i="18"/>
  <c r="P78" i="18"/>
  <c r="N78" i="18"/>
  <c r="P79" i="18"/>
  <c r="N79" i="18"/>
  <c r="P80" i="18"/>
  <c r="N80" i="18"/>
  <c r="P81" i="18"/>
  <c r="N81" i="18"/>
  <c r="P82" i="18"/>
  <c r="N82" i="18"/>
  <c r="P83" i="18"/>
  <c r="N83" i="18"/>
  <c r="P84" i="18"/>
  <c r="N84" i="18"/>
  <c r="P85" i="18"/>
  <c r="P86" i="18"/>
  <c r="P87" i="18"/>
  <c r="P88" i="18"/>
  <c r="P89" i="18"/>
  <c r="P90" i="18"/>
  <c r="P91" i="18"/>
  <c r="P92" i="18"/>
  <c r="P93" i="18"/>
  <c r="P94" i="18"/>
  <c r="N3" i="18"/>
  <c r="N4" i="18"/>
  <c r="N5" i="18"/>
  <c r="N6" i="18"/>
  <c r="N7" i="18"/>
  <c r="N8" i="18"/>
  <c r="N9" i="18"/>
  <c r="N10" i="18"/>
  <c r="N11" i="18"/>
  <c r="N12" i="18"/>
  <c r="N14" i="18"/>
  <c r="N15" i="18"/>
  <c r="N16" i="18"/>
  <c r="N17" i="18"/>
  <c r="N18" i="18"/>
  <c r="P8" i="19"/>
  <c r="N8" i="19"/>
  <c r="P9" i="19"/>
  <c r="N9" i="19"/>
  <c r="P10" i="19"/>
  <c r="N10" i="19"/>
  <c r="P5" i="19"/>
  <c r="P6" i="19"/>
  <c r="P7" i="19"/>
  <c r="P4" i="19"/>
  <c r="N4" i="19"/>
  <c r="N3" i="19"/>
  <c r="P3" i="19"/>
  <c r="I4" i="19"/>
  <c r="I5" i="19" s="1"/>
  <c r="I6" i="19" s="1"/>
  <c r="I7" i="19" s="1"/>
  <c r="I8" i="19" s="1"/>
  <c r="I9" i="19" s="1"/>
  <c r="I10" i="19" s="1"/>
  <c r="N7" i="19"/>
  <c r="N6" i="19"/>
  <c r="N5" i="19"/>
  <c r="A3" i="19"/>
  <c r="A4" i="19" s="1"/>
  <c r="P10" i="18"/>
  <c r="P11" i="18"/>
  <c r="P12" i="18"/>
  <c r="P14" i="18"/>
  <c r="P15" i="18"/>
  <c r="P16" i="18"/>
  <c r="P17" i="18"/>
  <c r="P18" i="18"/>
  <c r="P19" i="18"/>
  <c r="N19" i="18"/>
  <c r="P20" i="18"/>
  <c r="N20" i="18"/>
  <c r="P21" i="18"/>
  <c r="N21" i="18"/>
  <c r="P22" i="18"/>
  <c r="N22" i="18"/>
  <c r="P23" i="18"/>
  <c r="N23" i="18"/>
  <c r="P24" i="18"/>
  <c r="N24" i="18"/>
  <c r="P25" i="18"/>
  <c r="N25" i="18"/>
  <c r="P26" i="18"/>
  <c r="N26" i="18"/>
  <c r="P27" i="18"/>
  <c r="N27" i="18"/>
  <c r="P28" i="18"/>
  <c r="N28" i="18"/>
  <c r="P29" i="18"/>
  <c r="N29" i="18"/>
  <c r="P30" i="18"/>
  <c r="N30" i="18"/>
  <c r="P31" i="18"/>
  <c r="N31" i="18"/>
  <c r="P32" i="18"/>
  <c r="N32" i="18"/>
  <c r="P33" i="18"/>
  <c r="N33" i="18"/>
  <c r="P34" i="18"/>
  <c r="N34" i="18"/>
  <c r="P35" i="18"/>
  <c r="N35" i="18"/>
  <c r="P36" i="18"/>
  <c r="N36" i="18"/>
  <c r="P37" i="18"/>
  <c r="N37" i="18"/>
  <c r="P38" i="18"/>
  <c r="N38" i="18"/>
  <c r="P39" i="18"/>
  <c r="N39" i="18"/>
  <c r="P40" i="18"/>
  <c r="N40" i="18"/>
  <c r="P41" i="18"/>
  <c r="N41" i="18"/>
  <c r="P42" i="18"/>
  <c r="N42" i="18"/>
  <c r="P43" i="18"/>
  <c r="N43" i="18"/>
  <c r="P44" i="18"/>
  <c r="N44" i="18"/>
  <c r="P5" i="18"/>
  <c r="P6" i="18"/>
  <c r="P7" i="18"/>
  <c r="P8" i="18"/>
  <c r="P9" i="18"/>
  <c r="P4" i="18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I22" i="18" s="1"/>
  <c r="I23" i="18" s="1"/>
  <c r="I24" i="18" s="1"/>
  <c r="I25" i="18" s="1"/>
  <c r="I26" i="18" s="1"/>
  <c r="I27" i="18" s="1"/>
  <c r="I28" i="18" s="1"/>
  <c r="I29" i="18" s="1"/>
  <c r="I30" i="18" s="1"/>
  <c r="I31" i="18" s="1"/>
  <c r="I32" i="18" s="1"/>
  <c r="I33" i="18" s="1"/>
  <c r="I34" i="18" s="1"/>
  <c r="I35" i="18" s="1"/>
  <c r="I36" i="18" s="1"/>
  <c r="I37" i="18" s="1"/>
  <c r="I38" i="18" s="1"/>
  <c r="I39" i="18" s="1"/>
  <c r="I40" i="18" s="1"/>
  <c r="I41" i="18" s="1"/>
  <c r="I42" i="18" s="1"/>
  <c r="I43" i="18" s="1"/>
  <c r="I44" i="18" s="1"/>
  <c r="I45" i="18" s="1"/>
  <c r="I46" i="18" s="1"/>
  <c r="I47" i="18" s="1"/>
  <c r="I48" i="18" s="1"/>
  <c r="I49" i="18" s="1"/>
  <c r="I50" i="18" s="1"/>
  <c r="I51" i="18" s="1"/>
  <c r="I52" i="18" s="1"/>
  <c r="I53" i="18" s="1"/>
  <c r="I54" i="18" s="1"/>
  <c r="I55" i="18" s="1"/>
  <c r="I56" i="18" s="1"/>
  <c r="I57" i="18" s="1"/>
  <c r="I58" i="18" s="1"/>
  <c r="I59" i="18" s="1"/>
  <c r="I60" i="18" s="1"/>
  <c r="I61" i="18" s="1"/>
  <c r="I62" i="18" s="1"/>
  <c r="I63" i="18" s="1"/>
  <c r="I64" i="18" s="1"/>
  <c r="I65" i="18" s="1"/>
  <c r="I66" i="18" s="1"/>
  <c r="I67" i="18" s="1"/>
  <c r="I68" i="18" s="1"/>
  <c r="I69" i="18" s="1"/>
  <c r="I70" i="18" s="1"/>
  <c r="I71" i="18" s="1"/>
  <c r="I72" i="18" s="1"/>
  <c r="I73" i="18" s="1"/>
  <c r="I74" i="18" s="1"/>
  <c r="I75" i="18" s="1"/>
  <c r="I76" i="18" s="1"/>
  <c r="I77" i="18" s="1"/>
  <c r="I78" i="18" s="1"/>
  <c r="I79" i="18" s="1"/>
  <c r="I80" i="18" s="1"/>
  <c r="I81" i="18" s="1"/>
  <c r="I82" i="18" s="1"/>
  <c r="I83" i="18" s="1"/>
  <c r="I84" i="18" s="1"/>
  <c r="I85" i="18" s="1"/>
  <c r="I86" i="18" s="1"/>
  <c r="I87" i="18" s="1"/>
  <c r="I88" i="18" s="1"/>
  <c r="I89" i="18" s="1"/>
  <c r="I90" i="18" s="1"/>
  <c r="I91" i="18" s="1"/>
  <c r="I92" i="18" s="1"/>
  <c r="I93" i="18" s="1"/>
  <c r="I94" i="18" s="1"/>
  <c r="I95" i="18" s="1"/>
  <c r="I96" i="18" s="1"/>
  <c r="I97" i="18" s="1"/>
  <c r="I98" i="18" s="1"/>
  <c r="I99" i="18" s="1"/>
  <c r="I100" i="18" s="1"/>
  <c r="I101" i="18" s="1"/>
  <c r="I102" i="18" s="1"/>
  <c r="I103" i="18" s="1"/>
  <c r="I104" i="18" s="1"/>
  <c r="I105" i="18" s="1"/>
  <c r="I106" i="18" s="1"/>
  <c r="I107" i="18" s="1"/>
  <c r="I108" i="18" s="1"/>
  <c r="I109" i="18" s="1"/>
  <c r="I110" i="18" s="1"/>
  <c r="I111" i="18" s="1"/>
  <c r="I112" i="18" s="1"/>
  <c r="I113" i="18" s="1"/>
  <c r="I114" i="18" s="1"/>
  <c r="I115" i="18" s="1"/>
  <c r="I116" i="18" s="1"/>
  <c r="I117" i="18" s="1"/>
  <c r="I118" i="18" s="1"/>
  <c r="I119" i="18" s="1"/>
  <c r="I120" i="18" s="1"/>
  <c r="I121" i="18" s="1"/>
  <c r="I122" i="18" s="1"/>
  <c r="I123" i="18" s="1"/>
  <c r="I124" i="18" s="1"/>
  <c r="I125" i="18" s="1"/>
  <c r="I126" i="18" s="1"/>
  <c r="I127" i="18" s="1"/>
  <c r="I128" i="18" s="1"/>
  <c r="I129" i="18" s="1"/>
  <c r="I130" i="18" s="1"/>
  <c r="I131" i="18" s="1"/>
  <c r="P3" i="18"/>
  <c r="K3" i="18"/>
  <c r="P5" i="17"/>
  <c r="N5" i="17"/>
  <c r="P6" i="17"/>
  <c r="N6" i="17"/>
  <c r="P7" i="17"/>
  <c r="N7" i="17"/>
  <c r="N4" i="17"/>
  <c r="N3" i="17"/>
  <c r="P4" i="17"/>
  <c r="I4" i="17"/>
  <c r="I5" i="17" s="1"/>
  <c r="I6" i="17" s="1"/>
  <c r="I7" i="17" s="1"/>
  <c r="P3" i="17"/>
  <c r="A3" i="17"/>
  <c r="A4" i="17" s="1"/>
  <c r="K4" i="17" s="1"/>
  <c r="N8" i="16"/>
  <c r="N9" i="16"/>
  <c r="N10" i="16"/>
  <c r="N11" i="16"/>
  <c r="N7" i="16"/>
  <c r="P4" i="16"/>
  <c r="P5" i="16"/>
  <c r="P6" i="16"/>
  <c r="P7" i="16"/>
  <c r="P8" i="16"/>
  <c r="P9" i="16"/>
  <c r="P10" i="16"/>
  <c r="P11" i="16"/>
  <c r="P3" i="16"/>
  <c r="N6" i="16"/>
  <c r="N5" i="16"/>
  <c r="N4" i="16"/>
  <c r="I4" i="16"/>
  <c r="I5" i="16" s="1"/>
  <c r="I6" i="16" s="1"/>
  <c r="I7" i="16" s="1"/>
  <c r="I8" i="16" s="1"/>
  <c r="I9" i="16" s="1"/>
  <c r="I10" i="16" s="1"/>
  <c r="I11" i="16" s="1"/>
  <c r="N3" i="16"/>
  <c r="A3" i="16"/>
  <c r="A4" i="16" s="1"/>
  <c r="B16" i="15"/>
  <c r="P16" i="15" s="1"/>
  <c r="N16" i="15"/>
  <c r="N17" i="15"/>
  <c r="N18" i="15"/>
  <c r="N19" i="15"/>
  <c r="N20" i="15"/>
  <c r="N21" i="15"/>
  <c r="N15" i="15"/>
  <c r="B14" i="15"/>
  <c r="P14" i="15" s="1"/>
  <c r="N4" i="15"/>
  <c r="N5" i="15"/>
  <c r="N6" i="15"/>
  <c r="N7" i="15"/>
  <c r="N8" i="15"/>
  <c r="N9" i="15"/>
  <c r="N10" i="15"/>
  <c r="N11" i="15"/>
  <c r="N12" i="15"/>
  <c r="N13" i="15"/>
  <c r="N14" i="15"/>
  <c r="N3" i="15"/>
  <c r="P4" i="15"/>
  <c r="P5" i="15"/>
  <c r="P6" i="15"/>
  <c r="P7" i="15"/>
  <c r="P8" i="15"/>
  <c r="P9" i="15"/>
  <c r="P10" i="15"/>
  <c r="P11" i="15"/>
  <c r="P12" i="15"/>
  <c r="P13" i="15"/>
  <c r="P3" i="15"/>
  <c r="I4" i="15"/>
  <c r="I5" i="15" s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A3" i="15"/>
  <c r="A4" i="15" s="1"/>
  <c r="Q27" i="13"/>
  <c r="N27" i="13"/>
  <c r="Q28" i="13"/>
  <c r="N28" i="13"/>
  <c r="Q29" i="13"/>
  <c r="N29" i="13"/>
  <c r="Q30" i="13"/>
  <c r="N30" i="13"/>
  <c r="Q31" i="13"/>
  <c r="N31" i="13"/>
  <c r="Q32" i="13"/>
  <c r="N32" i="13"/>
  <c r="Q33" i="13"/>
  <c r="N33" i="13"/>
  <c r="Q34" i="13"/>
  <c r="N34" i="13"/>
  <c r="Q35" i="13"/>
  <c r="N35" i="13"/>
  <c r="P27" i="14"/>
  <c r="N27" i="14"/>
  <c r="P28" i="14"/>
  <c r="N28" i="14"/>
  <c r="P29" i="14"/>
  <c r="N29" i="14"/>
  <c r="P30" i="14"/>
  <c r="N30" i="14"/>
  <c r="P31" i="14"/>
  <c r="N31" i="14"/>
  <c r="P32" i="14"/>
  <c r="N32" i="14"/>
  <c r="P33" i="14"/>
  <c r="N33" i="14"/>
  <c r="P34" i="14"/>
  <c r="N34" i="14"/>
  <c r="P35" i="14"/>
  <c r="N35" i="14"/>
  <c r="P36" i="14"/>
  <c r="N36" i="14"/>
  <c r="P37" i="14"/>
  <c r="N37" i="14"/>
  <c r="N26" i="14"/>
  <c r="P26" i="14"/>
  <c r="N25" i="14"/>
  <c r="P25" i="14"/>
  <c r="N24" i="14"/>
  <c r="P24" i="14"/>
  <c r="N23" i="14"/>
  <c r="P23" i="14"/>
  <c r="N22" i="14"/>
  <c r="P22" i="14"/>
  <c r="N21" i="14"/>
  <c r="P21" i="14"/>
  <c r="N20" i="14"/>
  <c r="P20" i="14"/>
  <c r="N19" i="14"/>
  <c r="P19" i="14"/>
  <c r="N18" i="14"/>
  <c r="P18" i="14"/>
  <c r="N17" i="14"/>
  <c r="P17" i="14"/>
  <c r="N16" i="14"/>
  <c r="P16" i="14"/>
  <c r="N15" i="14"/>
  <c r="P15" i="14"/>
  <c r="N14" i="14"/>
  <c r="P14" i="14"/>
  <c r="N13" i="14"/>
  <c r="P13" i="14"/>
  <c r="N12" i="14"/>
  <c r="P12" i="14"/>
  <c r="N11" i="14"/>
  <c r="P11" i="14"/>
  <c r="N10" i="14"/>
  <c r="P10" i="14"/>
  <c r="N9" i="14"/>
  <c r="P9" i="14"/>
  <c r="N8" i="14"/>
  <c r="P8" i="14"/>
  <c r="N7" i="14"/>
  <c r="P7" i="14"/>
  <c r="N6" i="14"/>
  <c r="P6" i="14"/>
  <c r="N5" i="14"/>
  <c r="P5" i="14"/>
  <c r="N4" i="14"/>
  <c r="P4" i="14"/>
  <c r="I4" i="14"/>
  <c r="I5" i="14" s="1"/>
  <c r="I6" i="14" s="1"/>
  <c r="I7" i="14" s="1"/>
  <c r="I8" i="14" s="1"/>
  <c r="I9" i="14" s="1"/>
  <c r="I10" i="14" s="1"/>
  <c r="I11" i="14" s="1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N3" i="14"/>
  <c r="P3" i="14"/>
  <c r="A3" i="14"/>
  <c r="K3" i="14" s="1"/>
  <c r="Q8" i="13"/>
  <c r="N8" i="13"/>
  <c r="Q9" i="13"/>
  <c r="N9" i="13"/>
  <c r="Q10" i="13"/>
  <c r="N10" i="13"/>
  <c r="Q11" i="13"/>
  <c r="N11" i="13"/>
  <c r="Q12" i="13"/>
  <c r="N12" i="13"/>
  <c r="Q13" i="13"/>
  <c r="N13" i="13"/>
  <c r="Q14" i="13"/>
  <c r="N14" i="13"/>
  <c r="Q15" i="13"/>
  <c r="N15" i="13"/>
  <c r="Q16" i="13"/>
  <c r="N16" i="13"/>
  <c r="Q17" i="13"/>
  <c r="N17" i="13"/>
  <c r="Q18" i="13"/>
  <c r="N18" i="13"/>
  <c r="Q19" i="13"/>
  <c r="N19" i="13"/>
  <c r="Q20" i="13"/>
  <c r="N20" i="13"/>
  <c r="Q21" i="13"/>
  <c r="N21" i="13"/>
  <c r="Q22" i="13"/>
  <c r="N22" i="13"/>
  <c r="Q23" i="13"/>
  <c r="N23" i="13"/>
  <c r="Q24" i="13"/>
  <c r="N24" i="13"/>
  <c r="Q25" i="13"/>
  <c r="N25" i="13"/>
  <c r="Q26" i="13"/>
  <c r="N26" i="13"/>
  <c r="N81" i="2"/>
  <c r="N82" i="2"/>
  <c r="N83" i="2"/>
  <c r="N84" i="2"/>
  <c r="N85" i="2"/>
  <c r="N86" i="2"/>
  <c r="N87" i="2"/>
  <c r="N88" i="2"/>
  <c r="N89" i="2"/>
  <c r="N91" i="2"/>
  <c r="N92" i="2"/>
  <c r="N93" i="2"/>
  <c r="N94" i="2"/>
  <c r="N95" i="2"/>
  <c r="N96" i="2"/>
  <c r="N97" i="2"/>
  <c r="N100" i="2"/>
  <c r="N101" i="2"/>
  <c r="N73" i="2"/>
  <c r="N74" i="2"/>
  <c r="N75" i="2"/>
  <c r="N76" i="2"/>
  <c r="N77" i="2"/>
  <c r="N78" i="2"/>
  <c r="N79" i="2"/>
  <c r="N80" i="2"/>
  <c r="N72" i="2"/>
  <c r="N67" i="2"/>
  <c r="N68" i="2"/>
  <c r="N69" i="2"/>
  <c r="N70" i="2"/>
  <c r="N71" i="2"/>
  <c r="N64" i="2"/>
  <c r="N65" i="2"/>
  <c r="N66" i="2"/>
  <c r="Q3" i="13"/>
  <c r="Q4" i="13"/>
  <c r="N4" i="13"/>
  <c r="N5" i="13"/>
  <c r="N6" i="13"/>
  <c r="N7" i="13"/>
  <c r="N3" i="13"/>
  <c r="N57" i="6"/>
  <c r="N58" i="6"/>
  <c r="N59" i="6"/>
  <c r="N60" i="6"/>
  <c r="N61" i="6"/>
  <c r="N62" i="6"/>
  <c r="N63" i="6"/>
  <c r="N64" i="6"/>
  <c r="N56" i="6"/>
  <c r="Q129" i="5"/>
  <c r="Q56" i="5"/>
  <c r="N56" i="5"/>
  <c r="Q57" i="5"/>
  <c r="N57" i="5"/>
  <c r="Q58" i="5"/>
  <c r="N58" i="5"/>
  <c r="Q59" i="5"/>
  <c r="N59" i="5"/>
  <c r="Q60" i="5"/>
  <c r="N60" i="5"/>
  <c r="Q61" i="5"/>
  <c r="N61" i="5"/>
  <c r="Q62" i="5"/>
  <c r="N62" i="5"/>
  <c r="Q63" i="5"/>
  <c r="N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55" i="5"/>
  <c r="N55" i="5"/>
  <c r="Q7" i="13"/>
  <c r="Q6" i="13"/>
  <c r="Q5" i="13"/>
  <c r="I4" i="13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A3" i="13"/>
  <c r="K3" i="13" s="1"/>
  <c r="P4" i="12"/>
  <c r="N4" i="12"/>
  <c r="P5" i="12"/>
  <c r="N5" i="12"/>
  <c r="P6" i="12"/>
  <c r="N6" i="12"/>
  <c r="P7" i="12"/>
  <c r="N7" i="12"/>
  <c r="P8" i="12"/>
  <c r="N8" i="12"/>
  <c r="N3" i="12"/>
  <c r="P3" i="12"/>
  <c r="A3" i="12"/>
  <c r="A4" i="12" s="1"/>
  <c r="K4" i="12" s="1"/>
  <c r="N7" i="11"/>
  <c r="N4" i="11"/>
  <c r="N5" i="11"/>
  <c r="N6" i="11"/>
  <c r="N3" i="11"/>
  <c r="P3" i="11"/>
  <c r="P4" i="11"/>
  <c r="P8" i="11"/>
  <c r="N8" i="11"/>
  <c r="P9" i="11"/>
  <c r="N9" i="11"/>
  <c r="P7" i="11"/>
  <c r="P6" i="11"/>
  <c r="P5" i="11"/>
  <c r="I4" i="11"/>
  <c r="I5" i="11" s="1"/>
  <c r="I6" i="11" s="1"/>
  <c r="I7" i="11" s="1"/>
  <c r="I8" i="11" s="1"/>
  <c r="I9" i="11" s="1"/>
  <c r="A3" i="11"/>
  <c r="K3" i="11" s="1"/>
  <c r="I5" i="9"/>
  <c r="I6" i="9" s="1"/>
  <c r="I7" i="9" s="1"/>
  <c r="I8" i="9" s="1"/>
  <c r="I4" i="9"/>
  <c r="B112" i="6"/>
  <c r="N55" i="6"/>
  <c r="N54" i="6"/>
  <c r="N53" i="6"/>
  <c r="N52" i="6"/>
  <c r="N51" i="6"/>
  <c r="N50" i="6"/>
  <c r="N49" i="6"/>
  <c r="N48" i="6"/>
  <c r="N47" i="6"/>
  <c r="N36" i="6"/>
  <c r="N37" i="6"/>
  <c r="N38" i="6"/>
  <c r="N42" i="6"/>
  <c r="N43" i="6"/>
  <c r="N44" i="6"/>
  <c r="N45" i="6"/>
  <c r="N46" i="6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4" i="5"/>
  <c r="I5" i="5" s="1"/>
  <c r="I6" i="5" s="1"/>
  <c r="B111" i="5"/>
  <c r="Q111" i="5" s="1"/>
  <c r="N54" i="5"/>
  <c r="Q47" i="5"/>
  <c r="N47" i="5"/>
  <c r="Q48" i="5"/>
  <c r="N48" i="5"/>
  <c r="Q49" i="5"/>
  <c r="N49" i="5"/>
  <c r="Q50" i="5"/>
  <c r="N50" i="5"/>
  <c r="Q51" i="5"/>
  <c r="N51" i="5"/>
  <c r="Q52" i="5"/>
  <c r="N52" i="5"/>
  <c r="Q53" i="5"/>
  <c r="N53" i="5"/>
  <c r="Q54" i="5"/>
  <c r="P61" i="1"/>
  <c r="N61" i="1"/>
  <c r="P62" i="1"/>
  <c r="N62" i="1"/>
  <c r="P63" i="1"/>
  <c r="N63" i="1"/>
  <c r="P64" i="1"/>
  <c r="N64" i="1"/>
  <c r="P65" i="1"/>
  <c r="N65" i="1"/>
  <c r="P66" i="1"/>
  <c r="N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P54" i="1"/>
  <c r="N54" i="1"/>
  <c r="P55" i="1"/>
  <c r="N55" i="1"/>
  <c r="P56" i="1"/>
  <c r="N56" i="1"/>
  <c r="P57" i="1"/>
  <c r="N57" i="1"/>
  <c r="P58" i="1"/>
  <c r="N58" i="1"/>
  <c r="P59" i="1"/>
  <c r="N59" i="1"/>
  <c r="P60" i="1"/>
  <c r="N60" i="1"/>
  <c r="P53" i="1"/>
  <c r="N53" i="1"/>
  <c r="P52" i="1"/>
  <c r="N52" i="1"/>
  <c r="P45" i="1"/>
  <c r="N45" i="1"/>
  <c r="P46" i="1"/>
  <c r="N46" i="1"/>
  <c r="P47" i="1"/>
  <c r="N47" i="1"/>
  <c r="P48" i="1"/>
  <c r="N48" i="1"/>
  <c r="P49" i="1"/>
  <c r="N49" i="1"/>
  <c r="P50" i="1"/>
  <c r="N50" i="1"/>
  <c r="P51" i="1"/>
  <c r="N51" i="1"/>
  <c r="N3" i="10"/>
  <c r="P3" i="10"/>
  <c r="A3" i="10"/>
  <c r="K7" i="9"/>
  <c r="P7" i="9"/>
  <c r="N7" i="9"/>
  <c r="N4" i="9"/>
  <c r="N5" i="9"/>
  <c r="N6" i="9"/>
  <c r="N3" i="9"/>
  <c r="P6" i="9"/>
  <c r="P5" i="9"/>
  <c r="A4" i="9"/>
  <c r="A5" i="9" s="1"/>
  <c r="A3" i="9"/>
  <c r="K3" i="9" s="1"/>
  <c r="N6" i="8"/>
  <c r="P6" i="8"/>
  <c r="N5" i="8"/>
  <c r="P5" i="8"/>
  <c r="N4" i="8"/>
  <c r="N3" i="8"/>
  <c r="B3" i="8"/>
  <c r="P4" i="8" s="1"/>
  <c r="A3" i="8"/>
  <c r="K3" i="8" s="1"/>
  <c r="N4" i="7"/>
  <c r="N5" i="7"/>
  <c r="N6" i="7"/>
  <c r="N3" i="7"/>
  <c r="P5" i="7"/>
  <c r="P6" i="7"/>
  <c r="B3" i="7"/>
  <c r="P4" i="7" s="1"/>
  <c r="A3" i="7"/>
  <c r="A4" i="7" s="1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19" i="6"/>
  <c r="N18" i="6"/>
  <c r="N17" i="6"/>
  <c r="N16" i="6"/>
  <c r="N15" i="6"/>
  <c r="N14" i="6"/>
  <c r="N13" i="6"/>
  <c r="N12" i="6"/>
  <c r="N11" i="6"/>
  <c r="N10" i="6"/>
  <c r="N9" i="6"/>
  <c r="N6" i="6"/>
  <c r="Q6" i="6"/>
  <c r="N5" i="6"/>
  <c r="Q5" i="6"/>
  <c r="N4" i="6"/>
  <c r="Q4" i="6"/>
  <c r="N3" i="6"/>
  <c r="Q3" i="6"/>
  <c r="A3" i="6"/>
  <c r="Q43" i="5"/>
  <c r="N46" i="5"/>
  <c r="Q46" i="5"/>
  <c r="N45" i="5"/>
  <c r="Q45" i="5"/>
  <c r="N44" i="5"/>
  <c r="Q44" i="5"/>
  <c r="N43" i="5"/>
  <c r="N42" i="5"/>
  <c r="Q42" i="5"/>
  <c r="N41" i="5"/>
  <c r="Q41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6" i="5"/>
  <c r="Q6" i="5"/>
  <c r="N5" i="5"/>
  <c r="Q5" i="5"/>
  <c r="N4" i="5"/>
  <c r="Q4" i="5"/>
  <c r="N3" i="5"/>
  <c r="Q3" i="5"/>
  <c r="A3" i="5"/>
  <c r="K3" i="5" s="1"/>
  <c r="N26" i="2"/>
  <c r="N28" i="2"/>
  <c r="N29" i="2"/>
  <c r="N30" i="2"/>
  <c r="N31" i="2"/>
  <c r="N32" i="2"/>
  <c r="N33" i="2"/>
  <c r="N34" i="2"/>
  <c r="N35" i="2"/>
  <c r="N36" i="2"/>
  <c r="N41" i="2"/>
  <c r="N42" i="2"/>
  <c r="N43" i="2"/>
  <c r="N44" i="2"/>
  <c r="N25" i="2"/>
  <c r="N17" i="2"/>
  <c r="N18" i="2"/>
  <c r="N19" i="2"/>
  <c r="N20" i="2"/>
  <c r="N21" i="2"/>
  <c r="N22" i="2"/>
  <c r="N23" i="2"/>
  <c r="N24" i="2"/>
  <c r="P40" i="1"/>
  <c r="N40" i="1"/>
  <c r="P41" i="1"/>
  <c r="N41" i="1"/>
  <c r="P42" i="1"/>
  <c r="N42" i="1"/>
  <c r="P43" i="1"/>
  <c r="N43" i="1"/>
  <c r="P44" i="1"/>
  <c r="N44" i="1"/>
  <c r="N26" i="1"/>
  <c r="N29" i="1"/>
  <c r="N30" i="1"/>
  <c r="N31" i="1"/>
  <c r="N32" i="1"/>
  <c r="N33" i="1"/>
  <c r="N34" i="1"/>
  <c r="N35" i="1"/>
  <c r="N36" i="1"/>
  <c r="N37" i="1"/>
  <c r="N38" i="1"/>
  <c r="N39" i="1"/>
  <c r="N25" i="1"/>
  <c r="P30" i="1"/>
  <c r="P31" i="1"/>
  <c r="P32" i="1"/>
  <c r="P33" i="1"/>
  <c r="P34" i="1"/>
  <c r="P35" i="1"/>
  <c r="P36" i="1"/>
  <c r="P37" i="1"/>
  <c r="P38" i="1"/>
  <c r="P39" i="1"/>
  <c r="P17" i="1"/>
  <c r="N17" i="1"/>
  <c r="P18" i="1"/>
  <c r="N18" i="1"/>
  <c r="P19" i="1"/>
  <c r="N19" i="1"/>
  <c r="P20" i="1"/>
  <c r="N20" i="1"/>
  <c r="P21" i="1"/>
  <c r="N21" i="1"/>
  <c r="P22" i="1"/>
  <c r="N22" i="1"/>
  <c r="P23" i="1"/>
  <c r="N23" i="1"/>
  <c r="P24" i="1"/>
  <c r="N24" i="1"/>
  <c r="P25" i="1"/>
  <c r="P26" i="1"/>
  <c r="P29" i="1"/>
  <c r="K8" i="4"/>
  <c r="Q8" i="4"/>
  <c r="J3" i="4"/>
  <c r="Q3" i="4"/>
  <c r="Q4" i="4"/>
  <c r="Q5" i="4"/>
  <c r="Q6" i="4"/>
  <c r="Q7" i="4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A3" i="2"/>
  <c r="A4" i="2" s="1"/>
  <c r="A5" i="2" s="1"/>
  <c r="K5" i="2" s="1"/>
  <c r="N7" i="1"/>
  <c r="N8" i="1"/>
  <c r="N9" i="1"/>
  <c r="N10" i="1"/>
  <c r="N11" i="1"/>
  <c r="N12" i="1"/>
  <c r="N13" i="1"/>
  <c r="N14" i="1"/>
  <c r="N15" i="1"/>
  <c r="N16" i="1"/>
  <c r="P16" i="1"/>
  <c r="P7" i="1"/>
  <c r="P8" i="1"/>
  <c r="P9" i="1"/>
  <c r="P10" i="1"/>
  <c r="P11" i="1"/>
  <c r="P12" i="1"/>
  <c r="P13" i="1"/>
  <c r="P14" i="1"/>
  <c r="P15" i="1"/>
  <c r="N4" i="1"/>
  <c r="N5" i="1"/>
  <c r="N6" i="1"/>
  <c r="N3" i="1"/>
  <c r="P4" i="1"/>
  <c r="P5" i="1"/>
  <c r="P6" i="1"/>
  <c r="P3" i="1"/>
  <c r="A3" i="1"/>
  <c r="A4" i="1" s="1"/>
  <c r="A5" i="1" s="1"/>
  <c r="A28" i="6" l="1"/>
  <c r="A5" i="27"/>
  <c r="K4" i="27"/>
  <c r="A6" i="1"/>
  <c r="K5" i="1"/>
  <c r="K3" i="6"/>
  <c r="A4" i="6"/>
  <c r="A5" i="6" s="1"/>
  <c r="A6" i="6" s="1"/>
  <c r="A7" i="6" s="1"/>
  <c r="A6" i="2"/>
  <c r="K6" i="2" s="1"/>
  <c r="A5" i="34"/>
  <c r="K4" i="34"/>
  <c r="J5" i="12"/>
  <c r="K3" i="1"/>
  <c r="A5" i="39"/>
  <c r="K4" i="39"/>
  <c r="A5" i="20"/>
  <c r="K4" i="20"/>
  <c r="K3" i="20"/>
  <c r="P5" i="35"/>
  <c r="P6" i="35"/>
  <c r="A5" i="35"/>
  <c r="K4" i="35"/>
  <c r="A5" i="32"/>
  <c r="K4" i="32"/>
  <c r="A5" i="30"/>
  <c r="K4" i="30"/>
  <c r="A4" i="37"/>
  <c r="A5" i="37" s="1"/>
  <c r="K5" i="37" s="1"/>
  <c r="P3" i="36"/>
  <c r="K3" i="33"/>
  <c r="B2" i="31"/>
  <c r="P3" i="31"/>
  <c r="P4" i="31"/>
  <c r="P6" i="31"/>
  <c r="P7" i="31"/>
  <c r="P5" i="31"/>
  <c r="A10" i="29"/>
  <c r="A11" i="29" s="1"/>
  <c r="K9" i="29"/>
  <c r="K3" i="25"/>
  <c r="A5" i="22"/>
  <c r="K3" i="22"/>
  <c r="A5" i="19"/>
  <c r="K4" i="19"/>
  <c r="K3" i="17"/>
  <c r="A5" i="17"/>
  <c r="K3" i="16"/>
  <c r="K3" i="15"/>
  <c r="B17" i="15"/>
  <c r="J53" i="21"/>
  <c r="I53" i="21"/>
  <c r="J4" i="12"/>
  <c r="K3" i="10"/>
  <c r="A4" i="10"/>
  <c r="A4" i="24"/>
  <c r="K4" i="24" s="1"/>
  <c r="P6" i="24"/>
  <c r="A4" i="8"/>
  <c r="A5" i="8" s="1"/>
  <c r="A6" i="8" s="1"/>
  <c r="K6" i="8" s="1"/>
  <c r="Q112" i="5"/>
  <c r="K3" i="39"/>
  <c r="A4" i="38"/>
  <c r="A4" i="36"/>
  <c r="K3" i="35"/>
  <c r="K3" i="34"/>
  <c r="A5" i="33"/>
  <c r="K4" i="33"/>
  <c r="K3" i="32"/>
  <c r="A4" i="31"/>
  <c r="K3" i="30"/>
  <c r="K3" i="29"/>
  <c r="K4" i="29"/>
  <c r="A4" i="28"/>
  <c r="K3" i="27"/>
  <c r="A4" i="26"/>
  <c r="K4" i="25"/>
  <c r="A5" i="25"/>
  <c r="A4" i="23"/>
  <c r="A5" i="21"/>
  <c r="K4" i="21"/>
  <c r="K3" i="21"/>
  <c r="K3" i="19"/>
  <c r="A5" i="16"/>
  <c r="K4" i="16"/>
  <c r="P15" i="15"/>
  <c r="A5" i="15"/>
  <c r="K4" i="15"/>
  <c r="A4" i="14"/>
  <c r="A4" i="13"/>
  <c r="A5" i="12"/>
  <c r="K3" i="12"/>
  <c r="A4" i="11"/>
  <c r="K4" i="9"/>
  <c r="K3" i="2"/>
  <c r="K4" i="1"/>
  <c r="K5" i="9"/>
  <c r="A6" i="9"/>
  <c r="K6" i="9" s="1"/>
  <c r="P4" i="9"/>
  <c r="P3" i="9"/>
  <c r="K5" i="8"/>
  <c r="K4" i="8"/>
  <c r="B2" i="8"/>
  <c r="P3" i="8" s="1"/>
  <c r="B2" i="7"/>
  <c r="P3" i="7" s="1"/>
  <c r="A5" i="7"/>
  <c r="K4" i="7"/>
  <c r="K3" i="7"/>
  <c r="A4" i="5"/>
  <c r="A3" i="4"/>
  <c r="J4" i="4" s="1"/>
  <c r="K4" i="2"/>
  <c r="A29" i="6" l="1"/>
  <c r="K7" i="6"/>
  <c r="A8" i="6"/>
  <c r="A6" i="27"/>
  <c r="A7" i="1"/>
  <c r="K6" i="1"/>
  <c r="A7" i="2"/>
  <c r="K7" i="2" s="1"/>
  <c r="A6" i="34"/>
  <c r="K5" i="34"/>
  <c r="A5" i="24"/>
  <c r="K5" i="39"/>
  <c r="A6" i="39"/>
  <c r="A6" i="20"/>
  <c r="K5" i="20"/>
  <c r="A6" i="37"/>
  <c r="K4" i="37"/>
  <c r="A6" i="35"/>
  <c r="K5" i="35"/>
  <c r="A6" i="32"/>
  <c r="K5" i="32"/>
  <c r="A6" i="30"/>
  <c r="K5" i="30"/>
  <c r="A12" i="29"/>
  <c r="K11" i="29"/>
  <c r="K10" i="29"/>
  <c r="A6" i="22"/>
  <c r="K5" i="22"/>
  <c r="A6" i="19"/>
  <c r="K5" i="19"/>
  <c r="A6" i="17"/>
  <c r="K5" i="17"/>
  <c r="P17" i="15"/>
  <c r="B18" i="15"/>
  <c r="J6" i="12"/>
  <c r="K5" i="12"/>
  <c r="A5" i="10"/>
  <c r="K4" i="10"/>
  <c r="A5" i="38"/>
  <c r="K4" i="38"/>
  <c r="K6" i="37"/>
  <c r="A7" i="37"/>
  <c r="A5" i="36"/>
  <c r="K4" i="36"/>
  <c r="K5" i="33"/>
  <c r="A6" i="33"/>
  <c r="K4" i="31"/>
  <c r="A5" i="31"/>
  <c r="K5" i="31" s="1"/>
  <c r="A5" i="28"/>
  <c r="K4" i="28"/>
  <c r="K4" i="26"/>
  <c r="K5" i="25"/>
  <c r="K5" i="24"/>
  <c r="A6" i="24"/>
  <c r="K6" i="24" s="1"/>
  <c r="A5" i="23"/>
  <c r="A6" i="23" s="1"/>
  <c r="K4" i="23"/>
  <c r="A6" i="21"/>
  <c r="K5" i="21"/>
  <c r="K4" i="18"/>
  <c r="K5" i="16"/>
  <c r="A6" i="16"/>
  <c r="A6" i="15"/>
  <c r="K5" i="15"/>
  <c r="A5" i="14"/>
  <c r="K4" i="14"/>
  <c r="A5" i="13"/>
  <c r="K4" i="13"/>
  <c r="A6" i="12"/>
  <c r="K4" i="11"/>
  <c r="A5" i="11"/>
  <c r="A6" i="7"/>
  <c r="K5" i="7"/>
  <c r="K4" i="6"/>
  <c r="K4" i="5"/>
  <c r="A5" i="5"/>
  <c r="K3" i="4"/>
  <c r="A4" i="4"/>
  <c r="J5" i="4" s="1"/>
  <c r="A30" i="6" l="1"/>
  <c r="A9" i="6"/>
  <c r="K8" i="6"/>
  <c r="A7" i="27"/>
  <c r="A8" i="1"/>
  <c r="K7" i="1"/>
  <c r="A8" i="2"/>
  <c r="K8" i="2" s="1"/>
  <c r="K6" i="34"/>
  <c r="A7" i="34"/>
  <c r="A7" i="23"/>
  <c r="K6" i="23"/>
  <c r="K6" i="39"/>
  <c r="A7" i="39"/>
  <c r="A7" i="20"/>
  <c r="K6" i="20"/>
  <c r="A7" i="35"/>
  <c r="K6" i="35"/>
  <c r="A7" i="32"/>
  <c r="K6" i="32"/>
  <c r="A7" i="30"/>
  <c r="K6" i="30"/>
  <c r="A13" i="29"/>
  <c r="K13" i="29" s="1"/>
  <c r="K12" i="29"/>
  <c r="A7" i="22"/>
  <c r="K6" i="22"/>
  <c r="A7" i="19"/>
  <c r="K6" i="19"/>
  <c r="A7" i="17"/>
  <c r="K7" i="17" s="1"/>
  <c r="K6" i="17"/>
  <c r="B19" i="15"/>
  <c r="P18" i="15"/>
  <c r="K6" i="12"/>
  <c r="J7" i="12"/>
  <c r="K5" i="10"/>
  <c r="A6" i="10"/>
  <c r="K5" i="38"/>
  <c r="A6" i="38"/>
  <c r="K7" i="37"/>
  <c r="A8" i="37"/>
  <c r="A6" i="36"/>
  <c r="K5" i="36"/>
  <c r="K6" i="33"/>
  <c r="A7" i="33"/>
  <c r="A6" i="31"/>
  <c r="K6" i="31" s="1"/>
  <c r="K5" i="29"/>
  <c r="A6" i="28"/>
  <c r="K5" i="28"/>
  <c r="K5" i="23"/>
  <c r="A7" i="21"/>
  <c r="K6" i="21"/>
  <c r="K6" i="16"/>
  <c r="A7" i="16"/>
  <c r="K6" i="15"/>
  <c r="A7" i="15"/>
  <c r="A6" i="14"/>
  <c r="K5" i="14"/>
  <c r="A6" i="13"/>
  <c r="K5" i="13"/>
  <c r="A7" i="12"/>
  <c r="A6" i="11"/>
  <c r="K5" i="11"/>
  <c r="K6" i="7"/>
  <c r="K5" i="6"/>
  <c r="K5" i="5"/>
  <c r="A6" i="5"/>
  <c r="K4" i="4"/>
  <c r="A5" i="4"/>
  <c r="J6" i="4" s="1"/>
  <c r="A31" i="6" l="1"/>
  <c r="A10" i="6"/>
  <c r="K9" i="6"/>
  <c r="A8" i="27"/>
  <c r="A9" i="1"/>
  <c r="K8" i="1"/>
  <c r="A9" i="2"/>
  <c r="K9" i="2" s="1"/>
  <c r="A8" i="34"/>
  <c r="K8" i="34" s="1"/>
  <c r="K7" i="34"/>
  <c r="A8" i="23"/>
  <c r="K8" i="23" s="1"/>
  <c r="K7" i="23"/>
  <c r="A8" i="39"/>
  <c r="K8" i="39" s="1"/>
  <c r="K7" i="39"/>
  <c r="A8" i="20"/>
  <c r="K7" i="20"/>
  <c r="A8" i="35"/>
  <c r="K7" i="35"/>
  <c r="A8" i="32"/>
  <c r="K7" i="32"/>
  <c r="A8" i="30"/>
  <c r="K7" i="30"/>
  <c r="A8" i="22"/>
  <c r="K8" i="22" s="1"/>
  <c r="K7" i="22"/>
  <c r="K7" i="19"/>
  <c r="A8" i="19"/>
  <c r="B20" i="15"/>
  <c r="P19" i="15"/>
  <c r="K7" i="12"/>
  <c r="J8" i="12"/>
  <c r="K6" i="13"/>
  <c r="A7" i="13"/>
  <c r="K6" i="11"/>
  <c r="A7" i="11"/>
  <c r="A7" i="10"/>
  <c r="K6" i="10"/>
  <c r="A7" i="38"/>
  <c r="K6" i="38"/>
  <c r="A9" i="37"/>
  <c r="K9" i="37" s="1"/>
  <c r="K8" i="37"/>
  <c r="K6" i="36"/>
  <c r="A7" i="36"/>
  <c r="A8" i="36" s="1"/>
  <c r="A8" i="33"/>
  <c r="K8" i="33" s="1"/>
  <c r="K7" i="33"/>
  <c r="A7" i="31"/>
  <c r="K7" i="31" s="1"/>
  <c r="K6" i="29"/>
  <c r="K6" i="28"/>
  <c r="A7" i="28"/>
  <c r="A8" i="21"/>
  <c r="K7" i="21"/>
  <c r="A8" i="16"/>
  <c r="K7" i="16"/>
  <c r="K7" i="15"/>
  <c r="A8" i="15"/>
  <c r="K6" i="14"/>
  <c r="A7" i="14"/>
  <c r="A8" i="12"/>
  <c r="K8" i="12" s="1"/>
  <c r="K6" i="6"/>
  <c r="K6" i="5"/>
  <c r="K5" i="4"/>
  <c r="A6" i="4"/>
  <c r="J7" i="4" s="1"/>
  <c r="A32" i="6" l="1"/>
  <c r="A11" i="6"/>
  <c r="K10" i="6"/>
  <c r="A9" i="27"/>
  <c r="A10" i="1"/>
  <c r="K9" i="1"/>
  <c r="A10" i="2"/>
  <c r="K10" i="2" s="1"/>
  <c r="A9" i="20"/>
  <c r="K9" i="20" s="1"/>
  <c r="K8" i="20"/>
  <c r="A9" i="36"/>
  <c r="K8" i="36"/>
  <c r="A9" i="35"/>
  <c r="K8" i="35"/>
  <c r="A9" i="32"/>
  <c r="K8" i="32"/>
  <c r="A9" i="30"/>
  <c r="K8" i="30"/>
  <c r="A9" i="19"/>
  <c r="K8" i="19"/>
  <c r="P20" i="15"/>
  <c r="B21" i="15"/>
  <c r="P21" i="15" s="1"/>
  <c r="K7" i="13"/>
  <c r="A8" i="13"/>
  <c r="A8" i="11"/>
  <c r="K7" i="11"/>
  <c r="A8" i="10"/>
  <c r="K8" i="10" s="1"/>
  <c r="K7" i="10"/>
  <c r="K7" i="38"/>
  <c r="A8" i="38"/>
  <c r="K7" i="36"/>
  <c r="A8" i="31"/>
  <c r="K8" i="31" s="1"/>
  <c r="K8" i="29"/>
  <c r="K7" i="29"/>
  <c r="K7" i="28"/>
  <c r="A9" i="21"/>
  <c r="K8" i="21"/>
  <c r="K8" i="16"/>
  <c r="A9" i="16"/>
  <c r="A9" i="15"/>
  <c r="K8" i="15"/>
  <c r="K7" i="14"/>
  <c r="A8" i="14"/>
  <c r="K6" i="4"/>
  <c r="A7" i="4"/>
  <c r="A33" i="6" l="1"/>
  <c r="A12" i="6"/>
  <c r="K11" i="6"/>
  <c r="A10" i="27"/>
  <c r="A11" i="1"/>
  <c r="K10" i="1"/>
  <c r="A11" i="2"/>
  <c r="K11" i="2" s="1"/>
  <c r="A10" i="36"/>
  <c r="K9" i="36"/>
  <c r="A10" i="35"/>
  <c r="K10" i="35" s="1"/>
  <c r="K9" i="35"/>
  <c r="A10" i="32"/>
  <c r="K9" i="32"/>
  <c r="A10" i="30"/>
  <c r="K9" i="30"/>
  <c r="A10" i="19"/>
  <c r="K10" i="19" s="1"/>
  <c r="K9" i="19"/>
  <c r="A9" i="13"/>
  <c r="K8" i="13"/>
  <c r="A9" i="11"/>
  <c r="K9" i="11" s="1"/>
  <c r="K8" i="11"/>
  <c r="K8" i="38"/>
  <c r="A9" i="31"/>
  <c r="A10" i="21"/>
  <c r="K9" i="21"/>
  <c r="K9" i="16"/>
  <c r="A10" i="16"/>
  <c r="A10" i="15"/>
  <c r="K9" i="15"/>
  <c r="A9" i="14"/>
  <c r="K8" i="14"/>
  <c r="K7" i="4"/>
  <c r="J8" i="4"/>
  <c r="A34" i="6" l="1"/>
  <c r="A13" i="6"/>
  <c r="K12" i="6"/>
  <c r="A12" i="1"/>
  <c r="K11" i="1"/>
  <c r="A12" i="2"/>
  <c r="K12" i="2" s="1"/>
  <c r="A11" i="36"/>
  <c r="K10" i="36"/>
  <c r="A11" i="32"/>
  <c r="K11" i="32" s="1"/>
  <c r="K10" i="32"/>
  <c r="K9" i="31"/>
  <c r="A10" i="31"/>
  <c r="A11" i="30"/>
  <c r="K10" i="30"/>
  <c r="A10" i="13"/>
  <c r="K9" i="13"/>
  <c r="K10" i="21"/>
  <c r="A11" i="21"/>
  <c r="K10" i="16"/>
  <c r="A11" i="16"/>
  <c r="K10" i="15"/>
  <c r="A11" i="15"/>
  <c r="A10" i="14"/>
  <c r="K9" i="14"/>
  <c r="A35" i="6" l="1"/>
  <c r="A14" i="6"/>
  <c r="K13" i="6"/>
  <c r="A13" i="1"/>
  <c r="K12" i="1"/>
  <c r="A13" i="2"/>
  <c r="K13" i="2" s="1"/>
  <c r="A12" i="36"/>
  <c r="K12" i="36" s="1"/>
  <c r="K11" i="36"/>
  <c r="A11" i="31"/>
  <c r="K10" i="31"/>
  <c r="A12" i="30"/>
  <c r="K12" i="30" s="1"/>
  <c r="K11" i="30"/>
  <c r="A11" i="13"/>
  <c r="K10" i="13"/>
  <c r="A12" i="21"/>
  <c r="K11" i="21"/>
  <c r="K11" i="16"/>
  <c r="K11" i="15"/>
  <c r="A12" i="15"/>
  <c r="K10" i="14"/>
  <c r="A11" i="14"/>
  <c r="A36" i="6" l="1"/>
  <c r="A15" i="6"/>
  <c r="K14" i="6"/>
  <c r="A14" i="1"/>
  <c r="K13" i="1"/>
  <c r="A14" i="2"/>
  <c r="K14" i="2" s="1"/>
  <c r="A12" i="31"/>
  <c r="K11" i="31"/>
  <c r="A12" i="13"/>
  <c r="K11" i="13"/>
  <c r="A13" i="21"/>
  <c r="K12" i="21"/>
  <c r="A13" i="15"/>
  <c r="K12" i="15"/>
  <c r="K11" i="14"/>
  <c r="A12" i="14"/>
  <c r="A37" i="6" l="1"/>
  <c r="A16" i="6"/>
  <c r="K15" i="6"/>
  <c r="A15" i="1"/>
  <c r="K14" i="1"/>
  <c r="A15" i="2"/>
  <c r="K15" i="2" s="1"/>
  <c r="A13" i="31"/>
  <c r="K12" i="31"/>
  <c r="K12" i="13"/>
  <c r="A13" i="13"/>
  <c r="A14" i="21"/>
  <c r="K13" i="21"/>
  <c r="K13" i="15"/>
  <c r="A14" i="15"/>
  <c r="A13" i="14"/>
  <c r="K12" i="14"/>
  <c r="A38" i="6" l="1"/>
  <c r="A17" i="6"/>
  <c r="K16" i="6"/>
  <c r="A16" i="1"/>
  <c r="K15" i="1"/>
  <c r="A16" i="2"/>
  <c r="K16" i="2" s="1"/>
  <c r="A14" i="31"/>
  <c r="K13" i="31"/>
  <c r="A14" i="13"/>
  <c r="K13" i="13"/>
  <c r="A15" i="21"/>
  <c r="K14" i="21"/>
  <c r="K14" i="15"/>
  <c r="A15" i="15"/>
  <c r="A14" i="14"/>
  <c r="K13" i="14"/>
  <c r="A39" i="6" l="1"/>
  <c r="A18" i="6"/>
  <c r="K17" i="6"/>
  <c r="A17" i="1"/>
  <c r="K16" i="1"/>
  <c r="A17" i="2"/>
  <c r="K17" i="2" s="1"/>
  <c r="A15" i="31"/>
  <c r="K14" i="31"/>
  <c r="A15" i="13"/>
  <c r="K14" i="13"/>
  <c r="A16" i="21"/>
  <c r="K15" i="21"/>
  <c r="K15" i="15"/>
  <c r="A16" i="15"/>
  <c r="K14" i="14"/>
  <c r="A15" i="14"/>
  <c r="A40" i="6" l="1"/>
  <c r="A19" i="6"/>
  <c r="A18" i="1"/>
  <c r="K17" i="1"/>
  <c r="A18" i="2"/>
  <c r="K18" i="2" s="1"/>
  <c r="A16" i="31"/>
  <c r="K15" i="31"/>
  <c r="A16" i="13"/>
  <c r="K15" i="13"/>
  <c r="A17" i="21"/>
  <c r="K16" i="21"/>
  <c r="A17" i="15"/>
  <c r="K16" i="15"/>
  <c r="K15" i="14"/>
  <c r="A16" i="14"/>
  <c r="A41" i="6" l="1"/>
  <c r="A19" i="1"/>
  <c r="K18" i="1"/>
  <c r="A19" i="2"/>
  <c r="A17" i="31"/>
  <c r="K17" i="31" s="1"/>
  <c r="K16" i="31"/>
  <c r="A17" i="13"/>
  <c r="K16" i="13"/>
  <c r="A18" i="21"/>
  <c r="K17" i="21"/>
  <c r="A18" i="15"/>
  <c r="K17" i="15"/>
  <c r="A17" i="14"/>
  <c r="K16" i="14"/>
  <c r="A42" i="6" l="1"/>
  <c r="A20" i="1"/>
  <c r="K19" i="1"/>
  <c r="A20" i="2"/>
  <c r="K19" i="2"/>
  <c r="A18" i="13"/>
  <c r="K17" i="13"/>
  <c r="A19" i="21"/>
  <c r="K18" i="21"/>
  <c r="K18" i="15"/>
  <c r="A19" i="15"/>
  <c r="A18" i="14"/>
  <c r="K17" i="14"/>
  <c r="A43" i="6" l="1"/>
  <c r="A21" i="1"/>
  <c r="K20" i="1"/>
  <c r="A21" i="2"/>
  <c r="K20" i="2"/>
  <c r="A19" i="13"/>
  <c r="K18" i="13"/>
  <c r="A20" i="21"/>
  <c r="K19" i="21"/>
  <c r="K19" i="15"/>
  <c r="A20" i="15"/>
  <c r="K18" i="14"/>
  <c r="A19" i="14"/>
  <c r="A44" i="6" l="1"/>
  <c r="A22" i="1"/>
  <c r="K21" i="1"/>
  <c r="A22" i="2"/>
  <c r="K21" i="2"/>
  <c r="A20" i="13"/>
  <c r="K19" i="13"/>
  <c r="A21" i="21"/>
  <c r="K20" i="21"/>
  <c r="A21" i="15"/>
  <c r="K20" i="15"/>
  <c r="K19" i="14"/>
  <c r="A20" i="14"/>
  <c r="A45" i="6" l="1"/>
  <c r="A23" i="1"/>
  <c r="K22" i="1"/>
  <c r="A23" i="2"/>
  <c r="K22" i="2"/>
  <c r="A21" i="13"/>
  <c r="K20" i="13"/>
  <c r="A22" i="21"/>
  <c r="K21" i="21"/>
  <c r="K21" i="15"/>
  <c r="A21" i="14"/>
  <c r="K20" i="14"/>
  <c r="A46" i="6" l="1"/>
  <c r="A24" i="1"/>
  <c r="K23" i="1"/>
  <c r="A24" i="2"/>
  <c r="K23" i="2"/>
  <c r="K21" i="13"/>
  <c r="A22" i="13"/>
  <c r="A23" i="21"/>
  <c r="K22" i="21"/>
  <c r="A22" i="14"/>
  <c r="K21" i="14"/>
  <c r="A47" i="6" l="1"/>
  <c r="A25" i="1"/>
  <c r="K24" i="1"/>
  <c r="A25" i="2"/>
  <c r="K24" i="2"/>
  <c r="A23" i="13"/>
  <c r="K22" i="13"/>
  <c r="A24" i="21"/>
  <c r="K23" i="21"/>
  <c r="K22" i="14"/>
  <c r="A23" i="14"/>
  <c r="A48" i="6" l="1"/>
  <c r="A26" i="1"/>
  <c r="K25" i="1"/>
  <c r="A26" i="2"/>
  <c r="K25" i="2"/>
  <c r="A24" i="13"/>
  <c r="K23" i="13"/>
  <c r="A25" i="21"/>
  <c r="K24" i="21"/>
  <c r="K23" i="14"/>
  <c r="A24" i="14"/>
  <c r="A49" i="6" l="1"/>
  <c r="A27" i="1"/>
  <c r="K26" i="1"/>
  <c r="A27" i="2"/>
  <c r="K26" i="2"/>
  <c r="A25" i="13"/>
  <c r="K24" i="13"/>
  <c r="A26" i="21"/>
  <c r="K25" i="21"/>
  <c r="A25" i="14"/>
  <c r="K24" i="14"/>
  <c r="A50" i="6" l="1"/>
  <c r="A28" i="1"/>
  <c r="K27" i="1"/>
  <c r="A28" i="2"/>
  <c r="K27" i="2"/>
  <c r="A26" i="13"/>
  <c r="K25" i="13"/>
  <c r="A27" i="21"/>
  <c r="K26" i="21"/>
  <c r="A26" i="14"/>
  <c r="K25" i="14"/>
  <c r="A51" i="6" l="1"/>
  <c r="A29" i="1"/>
  <c r="K28" i="1"/>
  <c r="A29" i="2"/>
  <c r="K28" i="2"/>
  <c r="A27" i="13"/>
  <c r="K26" i="13"/>
  <c r="A28" i="21"/>
  <c r="K27" i="21"/>
  <c r="K26" i="14"/>
  <c r="A27" i="14"/>
  <c r="A52" i="6" l="1"/>
  <c r="A30" i="1"/>
  <c r="K29" i="1"/>
  <c r="A30" i="2"/>
  <c r="K29" i="2"/>
  <c r="K27" i="14"/>
  <c r="A28" i="14"/>
  <c r="A28" i="13"/>
  <c r="K27" i="13"/>
  <c r="A29" i="21"/>
  <c r="K28" i="21"/>
  <c r="A53" i="6" l="1"/>
  <c r="A31" i="1"/>
  <c r="K30" i="1"/>
  <c r="A31" i="2"/>
  <c r="K30" i="2"/>
  <c r="A29" i="14"/>
  <c r="K28" i="14"/>
  <c r="A29" i="13"/>
  <c r="K28" i="13"/>
  <c r="A30" i="21"/>
  <c r="K29" i="21"/>
  <c r="A54" i="6" l="1"/>
  <c r="A32" i="1"/>
  <c r="K31" i="1"/>
  <c r="K31" i="2"/>
  <c r="A32" i="2"/>
  <c r="A30" i="14"/>
  <c r="K29" i="14"/>
  <c r="A30" i="13"/>
  <c r="K29" i="13"/>
  <c r="A31" i="21"/>
  <c r="K30" i="21"/>
  <c r="A55" i="6" l="1"/>
  <c r="A33" i="1"/>
  <c r="K32" i="1"/>
  <c r="K32" i="2"/>
  <c r="A33" i="2"/>
  <c r="A31" i="14"/>
  <c r="K30" i="14"/>
  <c r="A31" i="13"/>
  <c r="K30" i="13"/>
  <c r="A32" i="21"/>
  <c r="K31" i="21"/>
  <c r="A56" i="6" l="1"/>
  <c r="A34" i="1"/>
  <c r="K33" i="1"/>
  <c r="K33" i="2"/>
  <c r="A34" i="2"/>
  <c r="A32" i="14"/>
  <c r="K31" i="14"/>
  <c r="A32" i="13"/>
  <c r="K31" i="13"/>
  <c r="A33" i="21"/>
  <c r="K32" i="21"/>
  <c r="A57" i="6" l="1"/>
  <c r="A35" i="1"/>
  <c r="K34" i="1"/>
  <c r="K34" i="2"/>
  <c r="A35" i="2"/>
  <c r="A33" i="14"/>
  <c r="K32" i="14"/>
  <c r="A33" i="13"/>
  <c r="K32" i="13"/>
  <c r="A34" i="21"/>
  <c r="K33" i="21"/>
  <c r="A58" i="6" l="1"/>
  <c r="A36" i="1"/>
  <c r="K35" i="1"/>
  <c r="K35" i="2"/>
  <c r="A36" i="2"/>
  <c r="A34" i="14"/>
  <c r="K33" i="14"/>
  <c r="A34" i="13"/>
  <c r="K33" i="13"/>
  <c r="A35" i="21"/>
  <c r="K34" i="21"/>
  <c r="A59" i="6" l="1"/>
  <c r="A37" i="1"/>
  <c r="K36" i="1"/>
  <c r="K36" i="2"/>
  <c r="A37" i="2"/>
  <c r="A35" i="14"/>
  <c r="K34" i="14"/>
  <c r="A35" i="13"/>
  <c r="K35" i="13" s="1"/>
  <c r="K34" i="13"/>
  <c r="A36" i="21"/>
  <c r="K35" i="21"/>
  <c r="A60" i="6" l="1"/>
  <c r="A38" i="1"/>
  <c r="K37" i="1"/>
  <c r="K37" i="2"/>
  <c r="A38" i="2"/>
  <c r="A36" i="14"/>
  <c r="K35" i="14"/>
  <c r="A37" i="21"/>
  <c r="K36" i="21"/>
  <c r="A61" i="6" l="1"/>
  <c r="A39" i="1"/>
  <c r="K38" i="1"/>
  <c r="K38" i="2"/>
  <c r="A39" i="2"/>
  <c r="A37" i="14"/>
  <c r="K37" i="14" s="1"/>
  <c r="K36" i="14"/>
  <c r="A38" i="21"/>
  <c r="K37" i="21"/>
  <c r="A62" i="6" l="1"/>
  <c r="A40" i="1"/>
  <c r="K39" i="1"/>
  <c r="K39" i="2"/>
  <c r="A40" i="2"/>
  <c r="A39" i="21"/>
  <c r="K38" i="21"/>
  <c r="A63" i="6" l="1"/>
  <c r="A41" i="1"/>
  <c r="K40" i="1"/>
  <c r="K40" i="2"/>
  <c r="A41" i="2"/>
  <c r="A40" i="21"/>
  <c r="K39" i="21"/>
  <c r="A64" i="6" l="1"/>
  <c r="A42" i="1"/>
  <c r="K41" i="1"/>
  <c r="K41" i="2"/>
  <c r="A42" i="2"/>
  <c r="A41" i="21"/>
  <c r="K40" i="21"/>
  <c r="A65" i="6" l="1"/>
  <c r="A43" i="1"/>
  <c r="K42" i="1"/>
  <c r="K42" i="2"/>
  <c r="A43" i="2"/>
  <c r="A42" i="21"/>
  <c r="K41" i="21"/>
  <c r="A66" i="6" l="1"/>
  <c r="A44" i="1"/>
  <c r="K43" i="1"/>
  <c r="K43" i="2"/>
  <c r="A44" i="2"/>
  <c r="A43" i="21"/>
  <c r="K42" i="21"/>
  <c r="A67" i="6" l="1"/>
  <c r="A45" i="1"/>
  <c r="K44" i="1"/>
  <c r="K44" i="2"/>
  <c r="A45" i="2"/>
  <c r="A44" i="21"/>
  <c r="K43" i="21"/>
  <c r="A68" i="6" l="1"/>
  <c r="A46" i="1"/>
  <c r="K45" i="1"/>
  <c r="K45" i="2"/>
  <c r="A46" i="2"/>
  <c r="A45" i="21"/>
  <c r="K44" i="21"/>
  <c r="A69" i="6" l="1"/>
  <c r="A47" i="1"/>
  <c r="K46" i="1"/>
  <c r="K46" i="2"/>
  <c r="A47" i="2"/>
  <c r="A46" i="21"/>
  <c r="K45" i="21"/>
  <c r="A70" i="6" l="1"/>
  <c r="A48" i="1"/>
  <c r="K47" i="1"/>
  <c r="K47" i="2"/>
  <c r="A48" i="2"/>
  <c r="A47" i="21"/>
  <c r="K46" i="21"/>
  <c r="A71" i="6" l="1"/>
  <c r="A49" i="1"/>
  <c r="K48" i="1"/>
  <c r="K48" i="2"/>
  <c r="A49" i="2"/>
  <c r="A48" i="21"/>
  <c r="K47" i="21"/>
  <c r="A72" i="6" l="1"/>
  <c r="A50" i="1"/>
  <c r="K49" i="1"/>
  <c r="K49" i="2"/>
  <c r="A50" i="2"/>
  <c r="A49" i="21"/>
  <c r="K48" i="21"/>
  <c r="A73" i="6" l="1"/>
  <c r="A51" i="1"/>
  <c r="K50" i="1"/>
  <c r="K50" i="2"/>
  <c r="A51" i="2"/>
  <c r="A50" i="21"/>
  <c r="K49" i="21"/>
  <c r="A74" i="6" l="1"/>
  <c r="A52" i="1"/>
  <c r="K51" i="1"/>
  <c r="K51" i="2"/>
  <c r="A52" i="2"/>
  <c r="A51" i="21"/>
  <c r="K50" i="21"/>
  <c r="A75" i="6" l="1"/>
  <c r="A53" i="1"/>
  <c r="K52" i="1"/>
  <c r="K52" i="2"/>
  <c r="A53" i="2"/>
  <c r="A52" i="21"/>
  <c r="A53" i="21" s="1"/>
  <c r="K51" i="21"/>
  <c r="A76" i="6" l="1"/>
  <c r="A54" i="1"/>
  <c r="K53" i="1"/>
  <c r="K53" i="2"/>
  <c r="A54" i="2"/>
  <c r="A54" i="2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K53" i="21"/>
  <c r="K52" i="21"/>
  <c r="A77" i="6" l="1"/>
  <c r="A55" i="1"/>
  <c r="K54" i="1"/>
  <c r="K54" i="2"/>
  <c r="A55" i="2"/>
  <c r="K54" i="21"/>
  <c r="A78" i="6" l="1"/>
  <c r="A56" i="1"/>
  <c r="K55" i="1"/>
  <c r="K55" i="2"/>
  <c r="A56" i="2"/>
  <c r="K55" i="21"/>
  <c r="A79" i="6" l="1"/>
  <c r="A57" i="1"/>
  <c r="K56" i="1"/>
  <c r="K56" i="2"/>
  <c r="A57" i="2"/>
  <c r="K56" i="21"/>
  <c r="A80" i="6" l="1"/>
  <c r="A58" i="1"/>
  <c r="K57" i="1"/>
  <c r="K57" i="2"/>
  <c r="A58" i="2"/>
  <c r="K57" i="21"/>
  <c r="A81" i="6" l="1"/>
  <c r="A59" i="1"/>
  <c r="K58" i="1"/>
  <c r="K58" i="2"/>
  <c r="A59" i="2"/>
  <c r="K58" i="21"/>
  <c r="A82" i="6" l="1"/>
  <c r="A60" i="1"/>
  <c r="K59" i="1"/>
  <c r="K59" i="2"/>
  <c r="A60" i="2"/>
  <c r="K59" i="21"/>
  <c r="A83" i="6" l="1"/>
  <c r="A61" i="1"/>
  <c r="K60" i="1"/>
  <c r="K60" i="2"/>
  <c r="A61" i="2"/>
  <c r="K60" i="21"/>
  <c r="A84" i="6" l="1"/>
  <c r="A62" i="1"/>
  <c r="K61" i="1"/>
  <c r="K61" i="2"/>
  <c r="A62" i="2"/>
  <c r="K61" i="21"/>
  <c r="A85" i="6" l="1"/>
  <c r="A63" i="1"/>
  <c r="K62" i="1"/>
  <c r="K62" i="2"/>
  <c r="A63" i="2"/>
  <c r="K62" i="21"/>
  <c r="A86" i="6" l="1"/>
  <c r="A64" i="1"/>
  <c r="K63" i="1"/>
  <c r="K63" i="2"/>
  <c r="A64" i="2"/>
  <c r="K63" i="21"/>
  <c r="A87" i="6" l="1"/>
  <c r="A65" i="1"/>
  <c r="K64" i="1"/>
  <c r="K64" i="2"/>
  <c r="A65" i="2"/>
  <c r="K64" i="21"/>
  <c r="A88" i="6" l="1"/>
  <c r="A66" i="1"/>
  <c r="K65" i="1"/>
  <c r="K65" i="2"/>
  <c r="A66" i="2"/>
  <c r="K65" i="21"/>
  <c r="A89" i="6" l="1"/>
  <c r="A67" i="1"/>
  <c r="K66" i="1"/>
  <c r="K66" i="2"/>
  <c r="A67" i="2"/>
  <c r="K66" i="21"/>
  <c r="A90" i="6" l="1"/>
  <c r="A68" i="1"/>
  <c r="K67" i="1"/>
  <c r="K67" i="2"/>
  <c r="A68" i="2"/>
  <c r="K67" i="21"/>
  <c r="A91" i="6" l="1"/>
  <c r="A69" i="1"/>
  <c r="K68" i="1"/>
  <c r="K68" i="2"/>
  <c r="A69" i="2"/>
  <c r="K68" i="21"/>
  <c r="A92" i="6" l="1"/>
  <c r="A70" i="1"/>
  <c r="K69" i="1"/>
  <c r="K69" i="2"/>
  <c r="A70" i="2"/>
  <c r="K69" i="21"/>
  <c r="A93" i="6" l="1"/>
  <c r="A71" i="1"/>
  <c r="K70" i="1"/>
  <c r="K70" i="2"/>
  <c r="A71" i="2"/>
  <c r="K70" i="21"/>
  <c r="A94" i="6" l="1"/>
  <c r="A72" i="1"/>
  <c r="K71" i="1"/>
  <c r="K71" i="2"/>
  <c r="A72" i="2"/>
  <c r="K71" i="21"/>
  <c r="A95" i="6" l="1"/>
  <c r="A73" i="1"/>
  <c r="K72" i="1"/>
  <c r="K72" i="2"/>
  <c r="A73" i="2"/>
  <c r="K72" i="21"/>
  <c r="A96" i="6" l="1"/>
  <c r="A74" i="1"/>
  <c r="K73" i="1"/>
  <c r="K73" i="2"/>
  <c r="A74" i="2"/>
  <c r="K73" i="21"/>
  <c r="A97" i="6" l="1"/>
  <c r="A75" i="1"/>
  <c r="K74" i="1"/>
  <c r="K74" i="2"/>
  <c r="A75" i="2"/>
  <c r="K74" i="21"/>
  <c r="A98" i="6" l="1"/>
  <c r="A76" i="1"/>
  <c r="K75" i="1"/>
  <c r="K75" i="2"/>
  <c r="A76" i="2"/>
  <c r="K75" i="21"/>
  <c r="A99" i="6" l="1"/>
  <c r="A77" i="1"/>
  <c r="K76" i="1"/>
  <c r="K76" i="2"/>
  <c r="A77" i="2"/>
  <c r="K76" i="21"/>
  <c r="A100" i="6" l="1"/>
  <c r="A78" i="1"/>
  <c r="K77" i="1"/>
  <c r="K77" i="2"/>
  <c r="A78" i="2"/>
  <c r="K77" i="21"/>
  <c r="A101" i="6" l="1"/>
  <c r="A79" i="1"/>
  <c r="K78" i="1"/>
  <c r="K78" i="2"/>
  <c r="A79" i="2"/>
  <c r="K78" i="21"/>
  <c r="A102" i="6" l="1"/>
  <c r="A80" i="1"/>
  <c r="K79" i="1"/>
  <c r="K79" i="2"/>
  <c r="A80" i="2"/>
  <c r="K79" i="21"/>
  <c r="A103" i="6" l="1"/>
  <c r="A81" i="1"/>
  <c r="K80" i="1"/>
  <c r="K80" i="2"/>
  <c r="A81" i="2"/>
  <c r="K80" i="21"/>
  <c r="A104" i="6" l="1"/>
  <c r="A82" i="1"/>
  <c r="K81" i="1"/>
  <c r="K81" i="2"/>
  <c r="A82" i="2"/>
  <c r="K81" i="21"/>
  <c r="A105" i="6" l="1"/>
  <c r="A83" i="1"/>
  <c r="K82" i="1"/>
  <c r="K82" i="2"/>
  <c r="A83" i="2"/>
  <c r="K82" i="21"/>
  <c r="A106" i="6" l="1"/>
  <c r="A84" i="1"/>
  <c r="K83" i="1"/>
  <c r="K83" i="2"/>
  <c r="A84" i="2"/>
  <c r="K83" i="21"/>
  <c r="A107" i="6" l="1"/>
  <c r="K84" i="1"/>
  <c r="K84" i="2"/>
  <c r="A85" i="2"/>
  <c r="K84" i="21"/>
  <c r="A108" i="6" l="1"/>
  <c r="K85" i="2"/>
  <c r="A86" i="2"/>
  <c r="K85" i="21"/>
  <c r="A109" i="6" l="1"/>
  <c r="K86" i="2"/>
  <c r="A87" i="2"/>
  <c r="K86" i="21"/>
  <c r="A110" i="6" l="1"/>
  <c r="K87" i="2"/>
  <c r="A88" i="2"/>
  <c r="K87" i="21"/>
  <c r="A111" i="6" l="1"/>
  <c r="K88" i="2"/>
  <c r="A89" i="2"/>
  <c r="K88" i="21"/>
  <c r="A112" i="6" l="1"/>
  <c r="K89" i="21"/>
  <c r="A113" i="6" l="1"/>
  <c r="K90" i="21"/>
  <c r="A114" i="6" l="1"/>
  <c r="K91" i="21"/>
  <c r="A115" i="6" l="1"/>
  <c r="K92" i="21"/>
  <c r="A116" i="6" l="1"/>
  <c r="K93" i="21"/>
  <c r="A117" i="6" l="1"/>
  <c r="K94" i="21"/>
  <c r="A118" i="6" l="1"/>
  <c r="K95" i="21"/>
  <c r="A119" i="6" l="1"/>
  <c r="K96" i="21"/>
  <c r="A120" i="6" l="1"/>
  <c r="K97" i="21"/>
  <c r="A121" i="6" l="1"/>
  <c r="K100" i="21"/>
  <c r="K98" i="21"/>
  <c r="A122" i="6" l="1"/>
  <c r="K101" i="21"/>
  <c r="K99" i="21"/>
  <c r="A123" i="6" l="1"/>
  <c r="K102" i="21"/>
  <c r="A124" i="6" l="1"/>
  <c r="K103" i="21"/>
  <c r="A125" i="6" l="1"/>
  <c r="K104" i="21"/>
  <c r="A126" i="6" l="1"/>
  <c r="K105" i="21"/>
  <c r="A127" i="6" l="1"/>
  <c r="K106" i="21"/>
  <c r="A128" i="6" l="1"/>
  <c r="K107" i="21"/>
  <c r="A129" i="6" l="1"/>
  <c r="K108" i="21"/>
  <c r="A130" i="6" l="1"/>
  <c r="K109" i="21"/>
  <c r="K110" i="21" l="1"/>
  <c r="K111" i="21" l="1"/>
  <c r="K112" i="21" l="1"/>
  <c r="K113" i="21" l="1"/>
  <c r="K114" i="21" l="1"/>
  <c r="K115" i="21" l="1"/>
  <c r="K116" i="21" l="1"/>
  <c r="K117" i="21" l="1"/>
  <c r="K118" i="21" l="1"/>
  <c r="K119" i="21" l="1"/>
  <c r="K120" i="21" l="1"/>
  <c r="K121" i="21" l="1"/>
  <c r="K122" i="21" l="1"/>
  <c r="K123" i="21" l="1"/>
  <c r="K124" i="21" l="1"/>
  <c r="K125" i="21" l="1"/>
  <c r="K126" i="21" l="1"/>
  <c r="K127" i="21" l="1"/>
  <c r="K128" i="21" l="1"/>
  <c r="K129" i="21" l="1"/>
  <c r="K130" i="21" l="1"/>
  <c r="K131" i="21" l="1"/>
  <c r="K132" i="21" l="1"/>
  <c r="K133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tc={B82D8CF0-B847-4D7A-9A06-226BE4209120}</author>
    <author>tc={2C89FCD4-AF33-4B84-AD42-6E196478F278}</author>
    <author>tc={DBD56CB1-6268-41E0-BD17-64E98891C1D9}</author>
  </authors>
  <commentList>
    <comment ref="A7" authorId="0" shapeId="0" xr:uid="{B82D8CF0-B847-4D7A-9A06-226BE420912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 with RFI</t>
      </text>
    </comment>
    <comment ref="A8" authorId="1" shapeId="0" xr:uid="{2C89FCD4-AF33-4B84-AD42-6E196478F27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check with RFI</t>
      </text>
    </comment>
    <comment ref="A26" authorId="2" shapeId="0" xr:uid="{DBD56CB1-6268-41E0-BD17-64E98891C1D9}">
      <text>
        <t>[Threaded comment]
Your version of Excel allows you to read this threaded comment; however, any edits to it will get removed if the file is opened in a newer version of Excel. Learn more: https://go.microsoft.com/fwlink/?linkid=870924
Comment:
    2*, 3* and side to check with RFI</t>
      </text>
    </comment>
  </commentList>
</comments>
</file>

<file path=xl/sharedStrings.xml><?xml version="1.0" encoding="utf-8"?>
<sst xmlns="http://schemas.openxmlformats.org/spreadsheetml/2006/main" count="1571" uniqueCount="665">
  <si>
    <t>Node ID</t>
  </si>
  <si>
    <t>Arc ID</t>
  </si>
  <si>
    <t>X</t>
  </si>
  <si>
    <t>Y</t>
  </si>
  <si>
    <t>NodeStart</t>
  </si>
  <si>
    <t>NodeEnd</t>
  </si>
  <si>
    <t>Curvature</t>
  </si>
  <si>
    <t>gradient</t>
  </si>
  <si>
    <t>Speed limit</t>
  </si>
  <si>
    <t>StationName</t>
  </si>
  <si>
    <t>Signal</t>
  </si>
  <si>
    <t>Segrate</t>
  </si>
  <si>
    <t>length</t>
  </si>
  <si>
    <t>Switch</t>
  </si>
  <si>
    <t>Pioltello Lim.</t>
  </si>
  <si>
    <t>Melzo Scalzo</t>
  </si>
  <si>
    <t>Melzo</t>
  </si>
  <si>
    <t>PozzuoloMartesana</t>
  </si>
  <si>
    <t>MelzoScaloA</t>
  </si>
  <si>
    <t>Trecella</t>
  </si>
  <si>
    <t>CassanoD'Adda</t>
  </si>
  <si>
    <t>PMD'Adda</t>
  </si>
  <si>
    <t>TreviglioOvest</t>
  </si>
  <si>
    <t>Bivio Casirate</t>
  </si>
  <si>
    <t>Signal direction (1 or -1_reverse)</t>
  </si>
  <si>
    <t>160 km/h</t>
  </si>
  <si>
    <t>PM Brescia Ovest</t>
  </si>
  <si>
    <t>Signal direction</t>
  </si>
  <si>
    <t>100 km/h</t>
  </si>
  <si>
    <t>Treviglio</t>
  </si>
  <si>
    <t>Caravaggio</t>
  </si>
  <si>
    <t>30 km/h</t>
  </si>
  <si>
    <t>Vidalengo</t>
  </si>
  <si>
    <t>MorengoBariano</t>
  </si>
  <si>
    <t>Romano</t>
  </si>
  <si>
    <t>Calcio</t>
  </si>
  <si>
    <t>Chiari</t>
  </si>
  <si>
    <t>Rovato</t>
  </si>
  <si>
    <t>OspitalettoT.</t>
  </si>
  <si>
    <t>BivioRoncadelle</t>
  </si>
  <si>
    <t>RomanoB20</t>
  </si>
  <si>
    <t>Signal Direction</t>
  </si>
  <si>
    <t>TreviglioA</t>
  </si>
  <si>
    <t>Coccaglio</t>
  </si>
  <si>
    <t>OspitalettoT.A</t>
  </si>
  <si>
    <t>sign dire</t>
  </si>
  <si>
    <t>Platform track ID</t>
  </si>
  <si>
    <t>Iitr</t>
  </si>
  <si>
    <t>Itr</t>
  </si>
  <si>
    <t>I</t>
  </si>
  <si>
    <t>II</t>
  </si>
  <si>
    <t>III</t>
  </si>
  <si>
    <t>No platform</t>
  </si>
  <si>
    <t>IV</t>
  </si>
  <si>
    <t>V</t>
  </si>
  <si>
    <t>Side track</t>
  </si>
  <si>
    <t>OspitalettoT.B37</t>
  </si>
  <si>
    <t>PMBresciaOvest</t>
  </si>
  <si>
    <t>side track</t>
  </si>
  <si>
    <t>BivioCasirate</t>
  </si>
  <si>
    <t>Pioltello Lim.A</t>
  </si>
  <si>
    <t>Vignate</t>
  </si>
  <si>
    <t>PioltelloLim.A</t>
  </si>
  <si>
    <t>PioltelloLim.</t>
  </si>
  <si>
    <t>MelzoScalo</t>
  </si>
  <si>
    <t>PMBivioAdda</t>
  </si>
  <si>
    <t>Platform Track ID</t>
  </si>
  <si>
    <t>StationID/Tracklines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</si>
  <si>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</si>
  <si>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</si>
  <si>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</si>
  <si>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</si>
  <si>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</si>
  <si>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</si>
  <si>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</si>
  <si>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</si>
  <si>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</si>
  <si>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</si>
  <si>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</si>
  <si>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</si>
  <si>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</si>
  <si>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</si>
  <si>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</si>
  <si>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</si>
  <si>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</si>
  <si>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</si>
  <si>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</si>
  <si>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</si>
  <si>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</si>
  <si>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</si>
  <si>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</si>
  <si>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</si>
  <si>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</si>
  <si>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</si>
  <si>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</si>
  <si>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</si>
  <si>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</si>
  <si>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</si>
  <si>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</si>
  <si>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</si>
  <si>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</si>
  <si>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</si>
  <si>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</si>
  <si>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</si>
  <si>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</si>
  <si>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</si>
  <si>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1Tr</t>
  </si>
  <si>
    <t>1N</t>
  </si>
  <si>
    <t>2N</t>
  </si>
  <si>
    <t>2tr</t>
  </si>
  <si>
    <t>1tr</t>
  </si>
  <si>
    <t>1p</t>
  </si>
  <si>
    <t>Noplatform</t>
  </si>
  <si>
    <t>2*</t>
  </si>
  <si>
    <t>3*</t>
  </si>
  <si>
    <t>side</t>
  </si>
  <si>
    <t>1W</t>
  </si>
  <si>
    <t>LowSide</t>
  </si>
  <si>
    <t>BlockID</t>
  </si>
  <si>
    <t>StartX[Km]</t>
  </si>
  <si>
    <t>EndX[Km]</t>
  </si>
  <si>
    <t>@0-B0@</t>
  </si>
  <si>
    <t>@1-B0@</t>
  </si>
  <si>
    <t>@2-B0@</t>
  </si>
  <si>
    <t>@3-B0@</t>
  </si>
  <si>
    <t>@4-B0@</t>
  </si>
  <si>
    <t>@5-B0@</t>
  </si>
  <si>
    <t>@6-B0@</t>
  </si>
  <si>
    <t>@7-B0@</t>
  </si>
  <si>
    <t>@8-B0@</t>
  </si>
  <si>
    <t>@9-B0@</t>
  </si>
  <si>
    <t>@10-B0@</t>
  </si>
  <si>
    <t>@11-B0@</t>
  </si>
  <si>
    <t>@12-B0@</t>
  </si>
  <si>
    <t>@13-B0@</t>
  </si>
  <si>
    <t>@14-B0@</t>
  </si>
  <si>
    <t>@15-B0@</t>
  </si>
  <si>
    <t>@16-B0@</t>
  </si>
  <si>
    <t>@17-B0@</t>
  </si>
  <si>
    <t>@18-B0@</t>
  </si>
  <si>
    <t>@0-B1@</t>
  </si>
  <si>
    <t>@1-B1@</t>
  </si>
  <si>
    <t>@2-B1@</t>
  </si>
  <si>
    <t>@3-B1@</t>
  </si>
  <si>
    <t>@4-B1@</t>
  </si>
  <si>
    <t>@5-B1@</t>
  </si>
  <si>
    <t>@6-B1@</t>
  </si>
  <si>
    <t>@7-B1@</t>
  </si>
  <si>
    <t>@8-B1@</t>
  </si>
  <si>
    <t>@9-B1@</t>
  </si>
  <si>
    <t>@10-B1@</t>
  </si>
  <si>
    <t>@11-B1@</t>
  </si>
  <si>
    <t>@12-B1@</t>
  </si>
  <si>
    <t>@13-B1@</t>
  </si>
  <si>
    <t>@14-B1@</t>
  </si>
  <si>
    <t>@15-B1@</t>
  </si>
  <si>
    <t>@16-B1@</t>
  </si>
  <si>
    <t>@17-B1@</t>
  </si>
  <si>
    <t>@18-B1@</t>
  </si>
  <si>
    <t>@0-B2@</t>
  </si>
  <si>
    <t>@1-B2@</t>
  </si>
  <si>
    <t>@2-B2@</t>
  </si>
  <si>
    <t>@3-B2@</t>
  </si>
  <si>
    <t>@4-B2@</t>
  </si>
  <si>
    <t>@5-B2@</t>
  </si>
  <si>
    <t>@6-B2@</t>
  </si>
  <si>
    <t>@7-B2@</t>
  </si>
  <si>
    <t>@8-B2@</t>
  </si>
  <si>
    <t>@9-B2@</t>
  </si>
  <si>
    <t>@10-B2@</t>
  </si>
  <si>
    <t>@11-B2@</t>
  </si>
  <si>
    <t>@12-B2@</t>
  </si>
  <si>
    <t>@13-B2@</t>
  </si>
  <si>
    <t>@14-B2@</t>
  </si>
  <si>
    <t>@15-B2@</t>
  </si>
  <si>
    <t>@16-B2@</t>
  </si>
  <si>
    <t>@17-B2@</t>
  </si>
  <si>
    <t>@18-B2@</t>
  </si>
  <si>
    <t>@19-B2@</t>
  </si>
  <si>
    <t>@20-B2@</t>
  </si>
  <si>
    <t>@21-B2@</t>
  </si>
  <si>
    <t>@22-B2@</t>
  </si>
  <si>
    <t>@23-B2@</t>
  </si>
  <si>
    <t>@24-B2@</t>
  </si>
  <si>
    <t>@25-B2@</t>
  </si>
  <si>
    <t>@26-B2@</t>
  </si>
  <si>
    <t>@27-B2@</t>
  </si>
  <si>
    <t>@28-B2@</t>
  </si>
  <si>
    <t>@29-B2@</t>
  </si>
  <si>
    <t>@30-B2@</t>
  </si>
  <si>
    <t>@31-B2@</t>
  </si>
  <si>
    <t>@32-B2@</t>
  </si>
  <si>
    <t>@33-B2@</t>
  </si>
  <si>
    <t>@34-B2@</t>
  </si>
  <si>
    <t>@35-B2@</t>
  </si>
  <si>
    <t>@36-B2@</t>
  </si>
  <si>
    <t>@37-B2@</t>
  </si>
  <si>
    <t>@38-B2@</t>
  </si>
  <si>
    <t>@39-B2@</t>
  </si>
  <si>
    <t>@40-B2@</t>
  </si>
  <si>
    <t>@41-B2@</t>
  </si>
  <si>
    <t>@42-B2@</t>
  </si>
  <si>
    <t>@0-B3@</t>
  </si>
  <si>
    <t>@1-B3@</t>
  </si>
  <si>
    <t>@0-B4@</t>
  </si>
  <si>
    <t>@1-B4@</t>
  </si>
  <si>
    <t>@2-B4@</t>
  </si>
  <si>
    <t>@3-B4@</t>
  </si>
  <si>
    <t>@4-B4@</t>
  </si>
  <si>
    <t>@5-B4@</t>
  </si>
  <si>
    <t>@6-B4@</t>
  </si>
  <si>
    <t>@7-B4@</t>
  </si>
  <si>
    <t>@8-B4@</t>
  </si>
  <si>
    <t>@9-B4@</t>
  </si>
  <si>
    <t>@10-B4@</t>
  </si>
  <si>
    <t>@11-B4@</t>
  </si>
  <si>
    <t>@12-B4@</t>
  </si>
  <si>
    <t>@13-B4@</t>
  </si>
  <si>
    <t>@14-B4@</t>
  </si>
  <si>
    <t>@15-B4@</t>
  </si>
  <si>
    <t>@16-B4@</t>
  </si>
  <si>
    <t>@17-B4@</t>
  </si>
  <si>
    <t>@18-B4@</t>
  </si>
  <si>
    <t>@19-B4@</t>
  </si>
  <si>
    <t>@20-B4@</t>
  </si>
  <si>
    <t>@21-B4@</t>
  </si>
  <si>
    <t>@22-B4@</t>
  </si>
  <si>
    <t>@23-B4@</t>
  </si>
  <si>
    <t>@24-B4@</t>
  </si>
  <si>
    <t>@25-B4@</t>
  </si>
  <si>
    <t>@26-B4@</t>
  </si>
  <si>
    <t>@27-B4@</t>
  </si>
  <si>
    <t>@28-B4@</t>
  </si>
  <si>
    <t>@29-B4@</t>
  </si>
  <si>
    <t>@30-B4@</t>
  </si>
  <si>
    <t>@31-B4@</t>
  </si>
  <si>
    <t>@32-B4@</t>
  </si>
  <si>
    <t>@33-B4@</t>
  </si>
  <si>
    <t>@34-B4@</t>
  </si>
  <si>
    <t>@35-B4@</t>
  </si>
  <si>
    <t>@36-B4@</t>
  </si>
  <si>
    <t>@37-B4@</t>
  </si>
  <si>
    <t>@38-B4@</t>
  </si>
  <si>
    <t>@39-B4@</t>
  </si>
  <si>
    <t>@40-B4@</t>
  </si>
  <si>
    <t>@41-B4@</t>
  </si>
  <si>
    <t>@42-B4@</t>
  </si>
  <si>
    <t>@0-B5@</t>
  </si>
  <si>
    <t>@1-B5@</t>
  </si>
  <si>
    <t>@0-B6@</t>
  </si>
  <si>
    <t>@1-B6@</t>
  </si>
  <si>
    <t>@0-B7@</t>
  </si>
  <si>
    <t>@1-B7@</t>
  </si>
  <si>
    <t>@2-B7@</t>
  </si>
  <si>
    <t>@0-B8@</t>
  </si>
  <si>
    <t>@1-B8@</t>
  </si>
  <si>
    <t>@2-B8@</t>
  </si>
  <si>
    <t>@0-B9@</t>
  </si>
  <si>
    <t>@1-B9@</t>
  </si>
  <si>
    <t>@2-B9@</t>
  </si>
  <si>
    <t>@0-B10@</t>
  </si>
  <si>
    <t>@1-B10@</t>
  </si>
  <si>
    <t>@2-B10@</t>
  </si>
  <si>
    <t>@0-B11@</t>
  </si>
  <si>
    <t>@1-B11@</t>
  </si>
  <si>
    <t>@2-B11@</t>
  </si>
  <si>
    <t>@3-B11@</t>
  </si>
  <si>
    <t>@4-B11@</t>
  </si>
  <si>
    <t>@5-B11@</t>
  </si>
  <si>
    <t>@0-B12@</t>
  </si>
  <si>
    <t>@1-B12@</t>
  </si>
  <si>
    <t>@2-B12@</t>
  </si>
  <si>
    <t>@3-B12@</t>
  </si>
  <si>
    <t>@4-B12@</t>
  </si>
  <si>
    <t>@5-B12@</t>
  </si>
  <si>
    <t>@6-B12@</t>
  </si>
  <si>
    <t>@0-B13@</t>
  </si>
  <si>
    <t>@1-B13@</t>
  </si>
  <si>
    <t>@2-B13@</t>
  </si>
  <si>
    <t>@3-B13@</t>
  </si>
  <si>
    <t>@4-B13@</t>
  </si>
  <si>
    <t>@5-B13@</t>
  </si>
  <si>
    <t>@6-B13@</t>
  </si>
  <si>
    <t>@7-B13@</t>
  </si>
  <si>
    <t>@8-B13@</t>
  </si>
  <si>
    <t>@9-B13@</t>
  </si>
  <si>
    <t>@10-B13@</t>
  </si>
  <si>
    <t>@11-B13@</t>
  </si>
  <si>
    <t>@12-B13@</t>
  </si>
  <si>
    <t>@13-B13@</t>
  </si>
  <si>
    <t>@14-B13@</t>
  </si>
  <si>
    <t>@15-B13@</t>
  </si>
  <si>
    <t>@16-B13@</t>
  </si>
  <si>
    <t>@17-B13@</t>
  </si>
  <si>
    <t>@18-B13@</t>
  </si>
  <si>
    <t>@19-B13@</t>
  </si>
  <si>
    <t>@20-B13@</t>
  </si>
  <si>
    <t>@21-B13@</t>
  </si>
  <si>
    <t>@22-B13@</t>
  </si>
  <si>
    <t>@23-B13@</t>
  </si>
  <si>
    <t>@24-B13@</t>
  </si>
  <si>
    <t>@25-B13@</t>
  </si>
  <si>
    <t>@26-B13@</t>
  </si>
  <si>
    <t>@27-B13@</t>
  </si>
  <si>
    <t>@28-B13@</t>
  </si>
  <si>
    <t>@29-B13@</t>
  </si>
  <si>
    <t>@30-B13@</t>
  </si>
  <si>
    <t>@31-B13@</t>
  </si>
  <si>
    <t>@32-B13@</t>
  </si>
  <si>
    <t>@33-B13@</t>
  </si>
  <si>
    <t>@0-B14@</t>
  </si>
  <si>
    <t>@1-B14@</t>
  </si>
  <si>
    <t>@2-B14@</t>
  </si>
  <si>
    <t>@3-B14@</t>
  </si>
  <si>
    <t>@4-B14@</t>
  </si>
  <si>
    <t>@5-B14@</t>
  </si>
  <si>
    <t>@6-B14@</t>
  </si>
  <si>
    <t>@7-B14@</t>
  </si>
  <si>
    <t>@8-B14@</t>
  </si>
  <si>
    <t>@9-B14@</t>
  </si>
  <si>
    <t>@10-B14@</t>
  </si>
  <si>
    <t>@11-B14@</t>
  </si>
  <si>
    <t>@12-B14@</t>
  </si>
  <si>
    <t>@13-B14@</t>
  </si>
  <si>
    <t>@14-B14@</t>
  </si>
  <si>
    <t>@15-B14@</t>
  </si>
  <si>
    <t>@16-B14@</t>
  </si>
  <si>
    <t>@17-B14@</t>
  </si>
  <si>
    <t>@18-B14@</t>
  </si>
  <si>
    <t>@19-B14@</t>
  </si>
  <si>
    <t>@20-B14@</t>
  </si>
  <si>
    <t>@21-B14@</t>
  </si>
  <si>
    <t>@22-B14@</t>
  </si>
  <si>
    <t>@23-B14@</t>
  </si>
  <si>
    <t>@24-B14@</t>
  </si>
  <si>
    <t>@25-B14@</t>
  </si>
  <si>
    <t>@26-B14@</t>
  </si>
  <si>
    <t>@27-B14@</t>
  </si>
  <si>
    <t>@28-B14@</t>
  </si>
  <si>
    <t>@29-B14@</t>
  </si>
  <si>
    <t>@30-B14@</t>
  </si>
  <si>
    <t>@31-B14@</t>
  </si>
  <si>
    <t>@32-B14@</t>
  </si>
  <si>
    <t>@33-B14@</t>
  </si>
  <si>
    <t>@34-B14@</t>
  </si>
  <si>
    <t>@35-B14@</t>
  </si>
  <si>
    <t>@36-B14@</t>
  </si>
  <si>
    <t>@0-B15@</t>
  </si>
  <si>
    <t>@1-B15@</t>
  </si>
  <si>
    <t>@2-B15@</t>
  </si>
  <si>
    <t>@0-B16@</t>
  </si>
  <si>
    <t>@1-B16@</t>
  </si>
  <si>
    <t>@2-B16@</t>
  </si>
  <si>
    <t>@3-B16@</t>
  </si>
  <si>
    <t>@4-B16@</t>
  </si>
  <si>
    <t>@5-B16@</t>
  </si>
  <si>
    <t>@6-B16@</t>
  </si>
  <si>
    <t>@7-B16@</t>
  </si>
  <si>
    <t>@8-B16@</t>
  </si>
  <si>
    <t>@9-B16@</t>
  </si>
  <si>
    <t>@0-B17@</t>
  </si>
  <si>
    <t>@1-B17@</t>
  </si>
  <si>
    <t>@2-B17@</t>
  </si>
  <si>
    <t>@3-B17@</t>
  </si>
  <si>
    <t>@4-B17@</t>
  </si>
  <si>
    <t>@0-B18@</t>
  </si>
  <si>
    <t>@1-B18@</t>
  </si>
  <si>
    <t>@2-B18@</t>
  </si>
  <si>
    <t>@0-B19@</t>
  </si>
  <si>
    <t>@1-B19@</t>
  </si>
  <si>
    <t>@2-B19@</t>
  </si>
  <si>
    <t>@0-B20@</t>
  </si>
  <si>
    <t>@1-B20@</t>
  </si>
  <si>
    <t>@2-B20@</t>
  </si>
  <si>
    <t>@0-B21@</t>
  </si>
  <si>
    <t>@0-B22@</t>
  </si>
  <si>
    <t>@0-B23@</t>
  </si>
  <si>
    <t>@1-B23@</t>
  </si>
  <si>
    <t>@2-B23@</t>
  </si>
  <si>
    <t>@0-B24@</t>
  </si>
  <si>
    <t>@1-B24@</t>
  </si>
  <si>
    <t>@0-B25@</t>
  </si>
  <si>
    <t>@1-B25@</t>
  </si>
  <si>
    <t>@2-B25@</t>
  </si>
  <si>
    <t>@0-B26@</t>
  </si>
  <si>
    <t>@1-B26@</t>
  </si>
  <si>
    <t>@2-B26@</t>
  </si>
  <si>
    <t>@3-B26@</t>
  </si>
  <si>
    <t>@0-B27@</t>
  </si>
  <si>
    <t>@1-B27@</t>
  </si>
  <si>
    <t>@2-B27@</t>
  </si>
  <si>
    <t>@3-B27@</t>
  </si>
  <si>
    <t>@4-B27@</t>
  </si>
  <si>
    <t>@5-B27@</t>
  </si>
  <si>
    <t>@6-B27@</t>
  </si>
  <si>
    <t>@0-B28@</t>
  </si>
  <si>
    <t>@1-B28@</t>
  </si>
  <si>
    <t>@2-B28@</t>
  </si>
  <si>
    <t>@3-B28@</t>
  </si>
  <si>
    <t>@0-B29@</t>
  </si>
  <si>
    <t>@1-B29@</t>
  </si>
  <si>
    <t>@2-B29@</t>
  </si>
  <si>
    <t>@0-B30@</t>
  </si>
  <si>
    <t>@1-B30@</t>
  </si>
  <si>
    <t>@2-B30@</t>
  </si>
  <si>
    <t>@0-B31@</t>
  </si>
  <si>
    <t>@1-B31@</t>
  </si>
  <si>
    <t>@2-B31@</t>
  </si>
  <si>
    <t>@3-B31@</t>
  </si>
  <si>
    <t>@0-B32@</t>
  </si>
  <si>
    <t>@1-B32@</t>
  </si>
  <si>
    <t>@2-B32@</t>
  </si>
  <si>
    <t>@3-B32@</t>
  </si>
  <si>
    <t>@4-B32@</t>
  </si>
  <si>
    <t>@0-B33@</t>
  </si>
  <si>
    <t>@1-B33@</t>
  </si>
  <si>
    <t>@2-B33@</t>
  </si>
  <si>
    <t>@0-B34@</t>
  </si>
  <si>
    <t>@1-B34@</t>
  </si>
  <si>
    <t>@2-B34@</t>
  </si>
  <si>
    <t>@0-B35@</t>
  </si>
  <si>
    <t>@1-B35@</t>
  </si>
  <si>
    <t>@2-B35@</t>
  </si>
  <si>
    <t>@3-B35@</t>
  </si>
  <si>
    <t>@0-B36@</t>
  </si>
  <si>
    <t>@1-B36@</t>
  </si>
  <si>
    <t>@2-B36@</t>
  </si>
  <si>
    <t>@0-B37@</t>
  </si>
  <si>
    <t>@1-B37@</t>
  </si>
  <si>
    <t>@2-B37@</t>
  </si>
  <si>
    <t>@1-B0@-11.340000/@1-B1@-11.420000</t>
  </si>
  <si>
    <t>@1-B0@-11.590000/@0-B3@-11.676000</t>
  </si>
  <si>
    <t>@2-B0@-12.980000/@2-B1@-13.060000</t>
  </si>
  <si>
    <t>@1-B1@-11.500000/@1-B0@-11.590000</t>
  </si>
  <si>
    <t>@1-B1@-11.590000/@1-B2@-11.676000</t>
  </si>
  <si>
    <t>@2-B1@-13.060000/@2-B2@-13.140000</t>
  </si>
  <si>
    <t>@2-B1@-13.140000/@2-B0@-13.220000</t>
  </si>
  <si>
    <t>@6-B1@-19.423000/@6-B0@-19.507000</t>
  </si>
  <si>
    <t>@11-B1@-26.430000/@0-B10@-26.490000</t>
  </si>
  <si>
    <t>@1-B2@-11.420000/@1-B1@-11.500000</t>
  </si>
  <si>
    <t>@1-B2@-11.676000/@2-B4@-11.846000</t>
  </si>
  <si>
    <t>@2-B2@-12.749000/@2-B0@-12.920000</t>
  </si>
  <si>
    <t>@2-B2@-13.140000/@2-B4@-13.220000</t>
  </si>
  <si>
    <t>@12-B2@-27.430000/@0-B11@-27.620000</t>
  </si>
  <si>
    <t>@34-B2@-66.550000/@35-B4@-66.750000</t>
  </si>
  <si>
    <t>@42-B2@-78.000000/@36-B14@-78.392000</t>
  </si>
  <si>
    <t>@2-B4@-12.980000/@2-B2@-13.060000</t>
  </si>
  <si>
    <t>@12-B4@-27.430000/@0-B12@-27.620000</t>
  </si>
  <si>
    <t>@34-B4@-65.695000/@33-B2@-65.895000</t>
  </si>
  <si>
    <t>@42-B4@-78.414000/@36-B14@-78.489000</t>
  </si>
  <si>
    <t>@1-B6@-11.140000/@1-B4@-11.340000</t>
  </si>
  <si>
    <t>@2-B8@-18.644000/@2-B9@-18.710000</t>
  </si>
  <si>
    <t>@2-B9@-18.710000/@2-B7@-18.855000</t>
  </si>
  <si>
    <t>@2-B10@-27.155000/@12-B1@-27.206000</t>
  </si>
  <si>
    <t>@1-B11@-28.790000/@0-B15@-28.900000</t>
  </si>
  <si>
    <t>@4-B11@-32.345000/@2-B14@-32.423000</t>
  </si>
  <si>
    <t>@4-B11@-32.480000/@4-B12@-32.560000</t>
  </si>
  <si>
    <t>@2-B12@-29.323000/@2-B11@-29.470000</t>
  </si>
  <si>
    <t>@4-B12@-32.690000/@0-B16@-32.720000</t>
  </si>
  <si>
    <t>@6-B12@-33.480000/@3-B14@-33.560000</t>
  </si>
  <si>
    <t>@2-B13@-32.423000/@0-B25@-32.560000</t>
  </si>
  <si>
    <t>@2-B13@-32.690000/@0-B26@-32.720000</t>
  </si>
  <si>
    <t>@2-B14@-32.345000/@2-B13@-32.423000</t>
  </si>
  <si>
    <t>@2-B14@-32.480000/@2-B13@-32.560000</t>
  </si>
  <si>
    <t>@3-B14@-33.650000/@4-B16@-33.700000</t>
  </si>
  <si>
    <t>@10-B14@-44.910000/@0-B20@-44.960000</t>
  </si>
  <si>
    <t>@11-B14@-45.950000/@0-B21@-46.052000</t>
  </si>
  <si>
    <t>@11-B14@-46.097000/@0-B22@-46.218000</t>
  </si>
  <si>
    <t>@26-B14@-65.545000/@0-B28@-65.615000</t>
  </si>
  <si>
    <t>@32-B14@-71.751000/@0-B37@-71.824000</t>
  </si>
  <si>
    <t>@0-B16@-32.720000/@0-B17@-32.830000</t>
  </si>
  <si>
    <t>@4-B16@-33.650000/@3-B14@-33.700000</t>
  </si>
  <si>
    <t>@3-B17@-33.620000/@4-B16@-33.650000</t>
  </si>
  <si>
    <t>@2-B18@-33.341000/@3-B17@-33.458000</t>
  </si>
  <si>
    <t>@2-B20@-45.830000/@11-B14@-45.900000</t>
  </si>
  <si>
    <t>@0-B21@-46.052000/@11-B14@-46.097000</t>
  </si>
  <si>
    <t>@0-B22@-46.218000/@11-B14@-46.280000</t>
  </si>
  <si>
    <t>@1-B23@-32.650000/@0-B24@-32.680000</t>
  </si>
  <si>
    <t>@0-B24@-32.680000/@0-B25@-32.720000</t>
  </si>
  <si>
    <t>@0-B25@-32.720000/@1-B26@-32.770000</t>
  </si>
  <si>
    <t>@2-B25@-33.318000/@3-B26@-33.480000</t>
  </si>
  <si>
    <t>@0-B28@-65.615000/@0-B31@-65.725000</t>
  </si>
  <si>
    <t>@1-B28@-65.645000/@0-B29@-65.725000</t>
  </si>
  <si>
    <t>@3-B28@-66.410000/@27-B14@-66.465000</t>
  </si>
  <si>
    <t>@2-B29@-66.370000/@3-B28@-66.410000</t>
  </si>
  <si>
    <t>@2-B30@-66.211000/@2-B32@-66.225000</t>
  </si>
  <si>
    <t>@0-B31@-65.725000/@0-B32@-65.738000</t>
  </si>
  <si>
    <t>@1-B31@-65.738000/@0-B30@-65.780000</t>
  </si>
  <si>
    <t>@3-B31@-66.211000/@3-B32@-66.261000</t>
  </si>
  <si>
    <t>@0-B32@-65.738000/@0-B33@-65.780000</t>
  </si>
  <si>
    <t>@4-B32@-66.347000/@2-B29@-66.370000</t>
  </si>
  <si>
    <t>@0-B33@-65.780000/@0-B34@-65.797000</t>
  </si>
  <si>
    <t>@2-B33@-66.270000/@4-B32@-66.347000</t>
  </si>
  <si>
    <t>@2-B34@-66.261000/@2-B33@-66.270000</t>
  </si>
  <si>
    <t>@2-B35@-71.419000/@2-B36@-71.457000</t>
  </si>
  <si>
    <t>@0-B36@-70.829000/@0-B35@-70.847000</t>
  </si>
  <si>
    <t>@2-B37@-71.998000/@32-B14@-72.469000</t>
  </si>
  <si>
    <t>Track 1</t>
  </si>
  <si>
    <t>X1</t>
  </si>
  <si>
    <t>Track2</t>
  </si>
  <si>
    <t>X2</t>
  </si>
  <si>
    <t>Track1</t>
  </si>
  <si>
    <t>@34-B13@</t>
  </si>
  <si>
    <t>@6-B2@-19.050000/@6-B1@-19.183000</t>
  </si>
  <si>
    <t>@0-B7@-17.655000/@0-B9@-17.805500</t>
  </si>
  <si>
    <t>@2-B7@-18.855000/@6-B4@-18.960000</t>
  </si>
  <si>
    <t>@0-B9@-17.805500/@0-B8@-17.877000</t>
  </si>
  <si>
    <t>@5-B11@-33.322000/@4-B13@-33.480000</t>
  </si>
  <si>
    <t>@3-B13@-32.720000/@2-B14@-32.800000</t>
  </si>
  <si>
    <t>@4-B13@-33.570000/@3-B14@-33.620000</t>
  </si>
  <si>
    <t>@11-B13@-44.831000/@10-B14@-44.910000</t>
  </si>
  <si>
    <t>@11-B13@-45.270000/@1-B19@-45.360000</t>
  </si>
  <si>
    <t>@12-B13@-46.280000/@11-B14@-46.360000</t>
  </si>
  <si>
    <t>@25-B13@-65.488000/@26-B14@-65.545000</t>
  </si>
  <si>
    <t>@25-B13@-65.545000/@4-B27@-65.615000</t>
  </si>
  <si>
    <t>@26-B13@-66.305000/@27-B14@-66.410000</t>
  </si>
  <si>
    <t>@29-B13@-70.765000/@0-B36@-70.829000</t>
  </si>
  <si>
    <t>@29-B13@-71.520000/@32-B14@-71.601000</t>
  </si>
  <si>
    <t>@3-B14@-33.720000/@4-B13@-33.800000</t>
  </si>
  <si>
    <t>@10-B14@-44.960000/@11-B13@-45.040000</t>
  </si>
  <si>
    <t>@11-B14@-46.360000/@12-B13@-46.444000</t>
  </si>
  <si>
    <t>@27-B14@-66.465000/@26-B13@-66.545000</t>
  </si>
  <si>
    <t>@32-B14@-71.936000/@30-B13@-71.998000</t>
  </si>
  <si>
    <t>@36-B14@-78.414000/@34-B13@-78.489000</t>
  </si>
  <si>
    <t>@2-B19@-46.101000/@12-B13@-46.218000</t>
  </si>
  <si>
    <t>@3-B26@-33.480000/@4-B13@-33.560000</t>
  </si>
  <si>
    <t>@3-B27@-65.313000/@25-B13@-65.488000</t>
  </si>
  <si>
    <t>@4-B27@-65.615000/@25-B13@-65.675000</t>
  </si>
  <si>
    <t>@6-B27@-66.139000/@26-B13@-66.305000</t>
  </si>
  <si>
    <t>@2-B36@-71.457000/@29-B13@-71.520000</t>
  </si>
  <si>
    <t>@19-B0@</t>
  </si>
  <si>
    <t>@19-B1@</t>
  </si>
  <si>
    <t>@18-B0@-33.676000/@18-B1@-33.746000</t>
  </si>
  <si>
    <t>@15-B1@-30.050000/@0-B14@-30.200000</t>
  </si>
  <si>
    <t>@15-B1@-30.220000/@0-B13@-30.332000</t>
  </si>
  <si>
    <t>@19-B1@-33.790000/@19-B0@-33.815000</t>
  </si>
  <si>
    <t>@2-B11@-29.500000/@15-B1@-30.040000</t>
  </si>
  <si>
    <t>@2-B15@-29.470000/@15-B1@-29.580000</t>
  </si>
  <si>
    <t>@17-B1@-32.714000/@16-B0@-32.764000</t>
  </si>
  <si>
    <t>@0-B23@-32.484000/@17-B1@-32.714000</t>
  </si>
  <si>
    <t>@1-B4@-11.140000/@1-B2@-11.240000</t>
  </si>
  <si>
    <t>@1-B4@-11.340000/@1-B2@-11.420000</t>
  </si>
  <si>
    <t>@6-B4@-18.960000/@6-B2@-19.050000</t>
  </si>
  <si>
    <t>@1-B5@-10.987000/@1-B4@-11.140000</t>
  </si>
  <si>
    <t>@26-B14@-65.317000/@25-B13@-65.395000</t>
  </si>
  <si>
    <t>@2-B4@-12.800000/@2-B1@-12.980000</t>
  </si>
  <si>
    <t>Melzo-BivioRoncadelle_AV</t>
  </si>
  <si>
    <t>Segrate-PioltelloLim.</t>
  </si>
  <si>
    <t>PilotelloLim.-Vignate</t>
  </si>
  <si>
    <t>Vignate-MelzoScalo</t>
  </si>
  <si>
    <t>Pozzuolo-Trecella</t>
  </si>
  <si>
    <t>MorengoBariano-Romano</t>
  </si>
  <si>
    <t>Romano-Calcio</t>
  </si>
  <si>
    <t>Calcio-Chiari</t>
  </si>
  <si>
    <t>Melzo-Pozzuolo</t>
  </si>
  <si>
    <t>@4-B17@-33.620000/@4-B16@-33.650000</t>
  </si>
  <si>
    <t>@2-B30@-66.211000/@3-B32@-66.261000</t>
  </si>
  <si>
    <t>@3-B31@-66.211000/@2-B32@-66.225000</t>
  </si>
  <si>
    <t>PioltelloLim.1Tr</t>
  </si>
  <si>
    <t>MelzoScalo3-5</t>
  </si>
  <si>
    <t>TreviglioTr</t>
  </si>
  <si>
    <t>Romano1p</t>
  </si>
  <si>
    <t>OspitalettoT.W</t>
  </si>
  <si>
    <t>OspitalettoT.1E</t>
  </si>
  <si>
    <t>Name</t>
  </si>
  <si>
    <t>Value</t>
  </si>
  <si>
    <t>Type</t>
  </si>
  <si>
    <t>▶</t>
  </si>
  <si>
    <t>[0]</t>
  </si>
  <si>
    <t>"@1-B2@"</t>
  </si>
  <si>
    <t>std::string</t>
  </si>
  <si>
    <t>[1]</t>
  </si>
  <si>
    <t>"@2-B2@"</t>
  </si>
  <si>
    <t>[2]</t>
  </si>
  <si>
    <t>"@3-B2@"</t>
  </si>
  <si>
    <t>[3]</t>
  </si>
  <si>
    <t>"@4-B2@"</t>
  </si>
  <si>
    <t>[4]</t>
  </si>
  <si>
    <t>"@5-B2@"</t>
  </si>
  <si>
    <t>[5]</t>
  </si>
  <si>
    <t>"@6-B2@"</t>
  </si>
  <si>
    <t>[6]</t>
  </si>
  <si>
    <t>"@7-B2@"</t>
  </si>
  <si>
    <t>[7]</t>
  </si>
  <si>
    <t>"@8-B2@"</t>
  </si>
  <si>
    <t>[8]</t>
  </si>
  <si>
    <t>"@9-B2@"</t>
  </si>
  <si>
    <t>[9]</t>
  </si>
  <si>
    <t>"@10-B2@"</t>
  </si>
  <si>
    <t>[10]</t>
  </si>
  <si>
    <t>"@11-B2@"</t>
  </si>
  <si>
    <t>[11]</t>
  </si>
  <si>
    <t>"@12-B2@-27.430000/@0-B11@-27.620000"</t>
  </si>
  <si>
    <t>[12]</t>
  </si>
  <si>
    <t>"@1-B11@"</t>
  </si>
  <si>
    <t>[13]</t>
  </si>
  <si>
    <t>"@2-B11@"</t>
  </si>
  <si>
    <t>[14]</t>
  </si>
  <si>
    <t>"@3-B11@"</t>
  </si>
  <si>
    <t>[15]</t>
  </si>
  <si>
    <t>"@4-B11@"</t>
  </si>
  <si>
    <t>[16]</t>
  </si>
  <si>
    <t>"@5-B11@-33.322000/@4-B13@-33.480000"</t>
  </si>
  <si>
    <t>[17]</t>
  </si>
  <si>
    <t>"@5-B13@"</t>
  </si>
  <si>
    <t>[18]</t>
  </si>
  <si>
    <t>"@6-B13@"</t>
  </si>
  <si>
    <t>[19]</t>
  </si>
  <si>
    <t>"@7-B13@"</t>
  </si>
  <si>
    <t>[20]</t>
  </si>
  <si>
    <t>"@8-B13@"</t>
  </si>
  <si>
    <t>[21]</t>
  </si>
  <si>
    <t>"@9-B13@"</t>
  </si>
  <si>
    <t>[22]</t>
  </si>
  <si>
    <t>"@10-B13@"</t>
  </si>
  <si>
    <t>[23]</t>
  </si>
  <si>
    <t>"@11-B13@"</t>
  </si>
  <si>
    <t>[24]</t>
  </si>
  <si>
    <t>"@12-B13@"</t>
  </si>
  <si>
    <t>[25]</t>
  </si>
  <si>
    <t>"@13-B13@"</t>
  </si>
  <si>
    <t>[26]</t>
  </si>
  <si>
    <t>"@14-B13@"</t>
  </si>
  <si>
    <t>[27]</t>
  </si>
  <si>
    <t>"@15-B13@"</t>
  </si>
  <si>
    <t>[28]</t>
  </si>
  <si>
    <t>"@16-B13@"</t>
  </si>
  <si>
    <t>[29]</t>
  </si>
  <si>
    <t>"@17-B13@"</t>
  </si>
  <si>
    <t>[30]</t>
  </si>
  <si>
    <t>"@18-B13@"</t>
  </si>
  <si>
    <t>[31]</t>
  </si>
  <si>
    <t>"@19-B13@"</t>
  </si>
  <si>
    <t>[32]</t>
  </si>
  <si>
    <t>"@20-B13@"</t>
  </si>
  <si>
    <t>[33]</t>
  </si>
  <si>
    <t>"@21-B13@"</t>
  </si>
  <si>
    <t>[34]</t>
  </si>
  <si>
    <t>"@22-B13@"</t>
  </si>
  <si>
    <t>[35]</t>
  </si>
  <si>
    <t>"@23-B13@"</t>
  </si>
  <si>
    <t>[36]</t>
  </si>
  <si>
    <t>"@24-B13@"</t>
  </si>
  <si>
    <t>[37]</t>
  </si>
  <si>
    <t>"@25-B13@-65.545000/@4-B27@-65.615000"</t>
  </si>
  <si>
    <t>[38]</t>
  </si>
  <si>
    <t>"@5-B27@"</t>
  </si>
  <si>
    <t>[39]</t>
  </si>
  <si>
    <t>"@6-B27@-66.139000/@26-B13@-66.305000"</t>
  </si>
  <si>
    <t>[40]</t>
  </si>
  <si>
    <t>"@27-B13@"</t>
  </si>
  <si>
    <t>[41]</t>
  </si>
  <si>
    <t>"@28-B13@"</t>
  </si>
  <si>
    <t>[42]</t>
  </si>
  <si>
    <t>"@29-B13@"</t>
  </si>
  <si>
    <t>[43]</t>
  </si>
  <si>
    <t>"@30-B13@"</t>
  </si>
  <si>
    <t>[44]</t>
  </si>
  <si>
    <t>"@31-B13@"</t>
  </si>
  <si>
    <t>[45]</t>
  </si>
  <si>
    <t>"@32-B13@"</t>
  </si>
  <si>
    <t>[46]</t>
  </si>
  <si>
    <t>"@33-B13@"</t>
  </si>
  <si>
    <t>[47]</t>
  </si>
  <si>
    <t>"@34-B13@"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</si>
</sst>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0" xfId="0" applyAlignment="1">
      <alignment horizontal="left" vertical="center"/>
    </xf>
    <xf numFmtId="0" fontId="0" fillId="2" borderId="0" xfId="0" applyFill="1"/>
    <xf numFmtId="165" fontId="0" fillId="0" borderId="0" xfId="0" applyNumberForma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gidio Quaglietta" id="{B89E20EF-7E01-40B8-AFA4-AB345975C519}" userId="S::equaglietta@tudelft.nl::a32cef32-93dd-464c-8e95-0d8cba9ff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4-02-10T12:12:54.25" personId="{B89E20EF-7E01-40B8-AFA4-AB345975C519}" id="{B82D8CF0-B847-4D7A-9A06-226BE4209120}">
    <text>To check with RFI</text>
  </threadedComment>
  <threadedComment ref="A8" dT="2024-02-10T12:13:06.77" personId="{B89E20EF-7E01-40B8-AFA4-AB345975C519}" id="{2C89FCD4-AF33-4B84-AD42-6E196478F278}">
    <text>To check with RFI</text>
  </threadedComment>
  <threadedComment ref="A26" dT="2024-02-10T12:12:33.48" personId="{B89E20EF-7E01-40B8-AFA4-AB345975C519}" id="{DBD56CB1-6268-41E0-BD17-64E98891C1D9}">
    <text>2*, 3* and side to check with RFI</text>
  </threadedComment>
</ThreadedComment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zoomScale="55" zoomScaleNormal="55" workbookViewId="0">
      <pane ySplit="1" topLeftCell="A72" activePane="bottomLeft" state="frozen"/>
      <selection pane="bottomLeft" activeCell="I3" sqref="I3:N96"/>
    </sheetView>
  </sheetViews>
  <sheetFormatPr defaultRowHeight="14.5" x14ac:dyDescent="0.35"/>
  <cols>
    <col min="2" max="2" width="9.36328125" bestFit="1" customWidth="1"/>
    <col min="4" max="4" width="14.453125" customWidth="1"/>
    <col min="5" max="5" width="14.90625" bestFit="1" customWidth="1"/>
    <col min="8" max="8" width="13.5429687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24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9.6359999999999992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9.9</v>
      </c>
      <c r="C3">
        <v>0</v>
      </c>
      <c r="D3" t="s">
        <v>11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160/3.6</f>
        <v>44.444444444444443</v>
      </c>
      <c r="P3">
        <f t="shared" ref="P3:P35" si="0">B3-B2</f>
        <v>0.26400000000000112</v>
      </c>
    </row>
    <row r="4" spans="1:16" x14ac:dyDescent="0.35">
      <c r="A4">
        <f t="shared" ref="A4:A67" si="1">A3+1</f>
        <v>3</v>
      </c>
      <c r="B4">
        <v>10.156000000000001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 t="shared" ref="K4" si="2">A4</f>
        <v>3</v>
      </c>
      <c r="L4">
        <v>10000</v>
      </c>
      <c r="M4">
        <v>0</v>
      </c>
      <c r="N4">
        <f t="shared" ref="N4:N24" si="3">160/3.6</f>
        <v>44.444444444444443</v>
      </c>
      <c r="P4">
        <f t="shared" si="0"/>
        <v>0.25600000000000023</v>
      </c>
    </row>
    <row r="5" spans="1:16" x14ac:dyDescent="0.35">
      <c r="A5">
        <f t="shared" si="1"/>
        <v>4</v>
      </c>
      <c r="B5">
        <v>10.694000000000001</v>
      </c>
      <c r="C5">
        <v>0</v>
      </c>
      <c r="I5">
        <f t="shared" ref="I5:I68" si="4">I4+1</f>
        <v>102</v>
      </c>
      <c r="J5">
        <f t="shared" ref="J5:J68" si="5">J4+1</f>
        <v>3</v>
      </c>
      <c r="K5">
        <f t="shared" ref="K5:K68" si="6">A5</f>
        <v>4</v>
      </c>
      <c r="L5">
        <v>10000</v>
      </c>
      <c r="M5">
        <v>0</v>
      </c>
      <c r="N5">
        <f t="shared" si="3"/>
        <v>44.444444444444443</v>
      </c>
      <c r="P5">
        <f t="shared" si="0"/>
        <v>0.53800000000000026</v>
      </c>
    </row>
    <row r="6" spans="1:16" x14ac:dyDescent="0.35">
      <c r="A6">
        <f t="shared" si="1"/>
        <v>5</v>
      </c>
      <c r="B6">
        <v>10.987</v>
      </c>
      <c r="C6">
        <v>0</v>
      </c>
      <c r="G6">
        <v>1</v>
      </c>
      <c r="H6">
        <v>1</v>
      </c>
      <c r="I6">
        <f t="shared" si="4"/>
        <v>103</v>
      </c>
      <c r="J6">
        <f t="shared" si="5"/>
        <v>4</v>
      </c>
      <c r="K6">
        <f t="shared" si="6"/>
        <v>5</v>
      </c>
      <c r="L6">
        <v>10000</v>
      </c>
      <c r="M6">
        <v>0</v>
      </c>
      <c r="N6">
        <f t="shared" si="3"/>
        <v>44.444444444444443</v>
      </c>
      <c r="P6">
        <f t="shared" si="0"/>
        <v>0.29299999999999926</v>
      </c>
    </row>
    <row r="7" spans="1:16" x14ac:dyDescent="0.35">
      <c r="A7">
        <f t="shared" si="1"/>
        <v>6</v>
      </c>
      <c r="B7">
        <v>11.34</v>
      </c>
      <c r="C7">
        <v>0</v>
      </c>
      <c r="F7">
        <v>1</v>
      </c>
      <c r="I7">
        <f t="shared" si="4"/>
        <v>104</v>
      </c>
      <c r="J7">
        <f t="shared" si="5"/>
        <v>5</v>
      </c>
      <c r="K7">
        <f t="shared" si="6"/>
        <v>6</v>
      </c>
      <c r="L7">
        <v>10000</v>
      </c>
      <c r="M7">
        <v>0</v>
      </c>
      <c r="N7">
        <f t="shared" si="3"/>
        <v>44.444444444444443</v>
      </c>
      <c r="P7">
        <f t="shared" si="0"/>
        <v>0.35299999999999976</v>
      </c>
    </row>
    <row r="8" spans="1:16" x14ac:dyDescent="0.35">
      <c r="A8">
        <f t="shared" si="1"/>
        <v>7</v>
      </c>
      <c r="B8">
        <v>11.42</v>
      </c>
      <c r="C8">
        <v>0</v>
      </c>
      <c r="I8">
        <f t="shared" si="4"/>
        <v>105</v>
      </c>
      <c r="J8">
        <f t="shared" si="5"/>
        <v>6</v>
      </c>
      <c r="K8">
        <f t="shared" si="6"/>
        <v>7</v>
      </c>
      <c r="L8">
        <v>10000</v>
      </c>
      <c r="M8">
        <v>0</v>
      </c>
      <c r="N8">
        <f t="shared" si="3"/>
        <v>44.444444444444443</v>
      </c>
      <c r="P8">
        <f t="shared" si="0"/>
        <v>8.0000000000000071E-2</v>
      </c>
    </row>
    <row r="9" spans="1:16" x14ac:dyDescent="0.35">
      <c r="A9">
        <f t="shared" si="1"/>
        <v>8</v>
      </c>
      <c r="B9">
        <v>11.5</v>
      </c>
      <c r="C9">
        <v>0</v>
      </c>
      <c r="I9">
        <f t="shared" si="4"/>
        <v>106</v>
      </c>
      <c r="J9">
        <f t="shared" si="5"/>
        <v>7</v>
      </c>
      <c r="K9">
        <f t="shared" si="6"/>
        <v>8</v>
      </c>
      <c r="L9">
        <v>10000</v>
      </c>
      <c r="M9">
        <v>0</v>
      </c>
      <c r="N9">
        <f t="shared" si="3"/>
        <v>44.444444444444443</v>
      </c>
      <c r="P9">
        <f t="shared" si="0"/>
        <v>8.0000000000000071E-2</v>
      </c>
    </row>
    <row r="10" spans="1:16" x14ac:dyDescent="0.35">
      <c r="A10">
        <f t="shared" si="1"/>
        <v>9</v>
      </c>
      <c r="B10">
        <v>11.59</v>
      </c>
      <c r="C10">
        <v>0</v>
      </c>
      <c r="F10">
        <v>1</v>
      </c>
      <c r="I10">
        <f t="shared" si="4"/>
        <v>107</v>
      </c>
      <c r="J10">
        <f t="shared" si="5"/>
        <v>8</v>
      </c>
      <c r="K10">
        <f t="shared" si="6"/>
        <v>9</v>
      </c>
      <c r="L10">
        <v>10000</v>
      </c>
      <c r="M10">
        <v>0</v>
      </c>
      <c r="N10">
        <f t="shared" si="3"/>
        <v>44.444444444444443</v>
      </c>
      <c r="P10">
        <f t="shared" si="0"/>
        <v>8.9999999999999858E-2</v>
      </c>
    </row>
    <row r="11" spans="1:16" x14ac:dyDescent="0.35">
      <c r="A11">
        <f t="shared" si="1"/>
        <v>10</v>
      </c>
      <c r="B11">
        <v>11.676</v>
      </c>
      <c r="C11">
        <v>0</v>
      </c>
      <c r="G11">
        <v>1</v>
      </c>
      <c r="H11">
        <v>-1</v>
      </c>
      <c r="I11">
        <f t="shared" si="4"/>
        <v>108</v>
      </c>
      <c r="J11">
        <f t="shared" si="5"/>
        <v>9</v>
      </c>
      <c r="K11">
        <f t="shared" si="6"/>
        <v>10</v>
      </c>
      <c r="L11">
        <v>10000</v>
      </c>
      <c r="M11">
        <v>0</v>
      </c>
      <c r="N11">
        <f t="shared" si="3"/>
        <v>44.444444444444443</v>
      </c>
      <c r="P11">
        <f t="shared" si="0"/>
        <v>8.6000000000000298E-2</v>
      </c>
    </row>
    <row r="12" spans="1:16" x14ac:dyDescent="0.35">
      <c r="A12">
        <f t="shared" si="1"/>
        <v>11</v>
      </c>
      <c r="B12">
        <v>11.846</v>
      </c>
      <c r="C12">
        <v>0</v>
      </c>
      <c r="I12">
        <f t="shared" si="4"/>
        <v>109</v>
      </c>
      <c r="J12">
        <f t="shared" si="5"/>
        <v>10</v>
      </c>
      <c r="K12">
        <f t="shared" si="6"/>
        <v>11</v>
      </c>
      <c r="L12">
        <v>10000</v>
      </c>
      <c r="M12">
        <v>0</v>
      </c>
      <c r="N12">
        <f t="shared" si="3"/>
        <v>44.444444444444443</v>
      </c>
      <c r="P12">
        <f t="shared" si="0"/>
        <v>0.16999999999999993</v>
      </c>
    </row>
    <row r="13" spans="1:16" x14ac:dyDescent="0.35">
      <c r="A13">
        <f t="shared" si="1"/>
        <v>12</v>
      </c>
      <c r="B13">
        <v>11.898</v>
      </c>
      <c r="C13">
        <v>0</v>
      </c>
      <c r="I13">
        <f t="shared" si="4"/>
        <v>110</v>
      </c>
      <c r="J13">
        <f t="shared" si="5"/>
        <v>11</v>
      </c>
      <c r="K13">
        <f t="shared" si="6"/>
        <v>12</v>
      </c>
      <c r="L13">
        <v>10000</v>
      </c>
      <c r="M13">
        <v>0</v>
      </c>
      <c r="N13">
        <f t="shared" si="3"/>
        <v>44.444444444444443</v>
      </c>
      <c r="P13">
        <f t="shared" si="0"/>
        <v>5.1999999999999602E-2</v>
      </c>
    </row>
    <row r="14" spans="1:16" x14ac:dyDescent="0.35">
      <c r="A14">
        <f t="shared" si="1"/>
        <v>13</v>
      </c>
      <c r="B14">
        <v>12.151999999999999</v>
      </c>
      <c r="C14">
        <v>0</v>
      </c>
      <c r="I14">
        <f t="shared" si="4"/>
        <v>111</v>
      </c>
      <c r="J14">
        <f t="shared" si="5"/>
        <v>12</v>
      </c>
      <c r="K14">
        <f t="shared" si="6"/>
        <v>13</v>
      </c>
      <c r="L14">
        <v>10000</v>
      </c>
      <c r="M14">
        <v>0</v>
      </c>
      <c r="N14">
        <f t="shared" si="3"/>
        <v>44.444444444444443</v>
      </c>
      <c r="P14">
        <f t="shared" si="0"/>
        <v>0.25399999999999956</v>
      </c>
    </row>
    <row r="15" spans="1:16" x14ac:dyDescent="0.35">
      <c r="A15">
        <f t="shared" si="1"/>
        <v>14</v>
      </c>
      <c r="B15">
        <v>12.31</v>
      </c>
      <c r="C15">
        <v>0</v>
      </c>
      <c r="D15" t="s">
        <v>14</v>
      </c>
      <c r="I15">
        <f t="shared" si="4"/>
        <v>112</v>
      </c>
      <c r="J15">
        <f t="shared" si="5"/>
        <v>13</v>
      </c>
      <c r="K15">
        <f t="shared" si="6"/>
        <v>14</v>
      </c>
      <c r="L15">
        <v>10000</v>
      </c>
      <c r="M15">
        <v>0</v>
      </c>
      <c r="N15">
        <f t="shared" si="3"/>
        <v>44.444444444444443</v>
      </c>
      <c r="P15">
        <f t="shared" si="0"/>
        <v>0.15800000000000125</v>
      </c>
    </row>
    <row r="16" spans="1:16" x14ac:dyDescent="0.35">
      <c r="A16">
        <f t="shared" si="1"/>
        <v>15</v>
      </c>
      <c r="B16">
        <v>12.542999999999999</v>
      </c>
      <c r="C16">
        <v>0</v>
      </c>
      <c r="G16">
        <v>1</v>
      </c>
      <c r="H16">
        <v>1</v>
      </c>
      <c r="I16">
        <f t="shared" si="4"/>
        <v>113</v>
      </c>
      <c r="J16">
        <f t="shared" si="5"/>
        <v>14</v>
      </c>
      <c r="K16">
        <f t="shared" si="6"/>
        <v>15</v>
      </c>
      <c r="L16">
        <v>10000</v>
      </c>
      <c r="M16">
        <v>0</v>
      </c>
      <c r="N16">
        <f t="shared" si="3"/>
        <v>44.444444444444443</v>
      </c>
      <c r="P16">
        <f t="shared" si="0"/>
        <v>0.23299999999999876</v>
      </c>
    </row>
    <row r="17" spans="1:20" x14ac:dyDescent="0.35">
      <c r="A17">
        <f t="shared" si="1"/>
        <v>16</v>
      </c>
      <c r="B17">
        <v>12.749000000000001</v>
      </c>
      <c r="C17">
        <v>0</v>
      </c>
      <c r="I17">
        <f t="shared" si="4"/>
        <v>114</v>
      </c>
      <c r="J17">
        <f t="shared" si="5"/>
        <v>15</v>
      </c>
      <c r="K17">
        <f t="shared" si="6"/>
        <v>16</v>
      </c>
      <c r="L17">
        <v>10000</v>
      </c>
      <c r="M17">
        <v>0</v>
      </c>
      <c r="N17">
        <f t="shared" si="3"/>
        <v>44.444444444444443</v>
      </c>
      <c r="P17">
        <f t="shared" si="0"/>
        <v>0.20600000000000129</v>
      </c>
      <c r="T17">
        <f>12.31+3.78</f>
        <v>16.09</v>
      </c>
    </row>
    <row r="18" spans="1:20" x14ac:dyDescent="0.35">
      <c r="A18">
        <f t="shared" si="1"/>
        <v>17</v>
      </c>
      <c r="B18">
        <v>12.92</v>
      </c>
      <c r="C18">
        <v>0</v>
      </c>
      <c r="I18">
        <f t="shared" si="4"/>
        <v>115</v>
      </c>
      <c r="J18">
        <f t="shared" si="5"/>
        <v>16</v>
      </c>
      <c r="K18">
        <f t="shared" si="6"/>
        <v>17</v>
      </c>
      <c r="L18">
        <v>10000</v>
      </c>
      <c r="M18">
        <v>0</v>
      </c>
      <c r="N18">
        <f t="shared" si="3"/>
        <v>44.444444444444443</v>
      </c>
      <c r="P18">
        <f t="shared" si="0"/>
        <v>0.17099999999999937</v>
      </c>
    </row>
    <row r="19" spans="1:20" x14ac:dyDescent="0.35">
      <c r="A19">
        <f t="shared" si="1"/>
        <v>18</v>
      </c>
      <c r="B19">
        <v>12.98</v>
      </c>
      <c r="C19">
        <v>0</v>
      </c>
      <c r="F19">
        <v>1</v>
      </c>
      <c r="I19">
        <f t="shared" si="4"/>
        <v>116</v>
      </c>
      <c r="J19">
        <f t="shared" si="5"/>
        <v>17</v>
      </c>
      <c r="K19">
        <f t="shared" si="6"/>
        <v>18</v>
      </c>
      <c r="L19">
        <v>10000</v>
      </c>
      <c r="M19">
        <v>0</v>
      </c>
      <c r="N19">
        <f t="shared" si="3"/>
        <v>44.444444444444443</v>
      </c>
      <c r="P19">
        <f t="shared" si="0"/>
        <v>6.0000000000000497E-2</v>
      </c>
    </row>
    <row r="20" spans="1:20" x14ac:dyDescent="0.35">
      <c r="A20">
        <f t="shared" si="1"/>
        <v>19</v>
      </c>
      <c r="B20">
        <v>13.06</v>
      </c>
      <c r="C20">
        <v>0</v>
      </c>
      <c r="I20">
        <f t="shared" si="4"/>
        <v>117</v>
      </c>
      <c r="J20">
        <f t="shared" si="5"/>
        <v>18</v>
      </c>
      <c r="K20">
        <f t="shared" si="6"/>
        <v>19</v>
      </c>
      <c r="L20">
        <v>10000</v>
      </c>
      <c r="M20">
        <v>0</v>
      </c>
      <c r="N20">
        <f t="shared" si="3"/>
        <v>44.444444444444443</v>
      </c>
      <c r="P20">
        <f t="shared" si="0"/>
        <v>8.0000000000000071E-2</v>
      </c>
    </row>
    <row r="21" spans="1:20" x14ac:dyDescent="0.35">
      <c r="A21">
        <f t="shared" si="1"/>
        <v>20</v>
      </c>
      <c r="B21">
        <v>13.14</v>
      </c>
      <c r="C21">
        <v>0</v>
      </c>
      <c r="I21">
        <f t="shared" si="4"/>
        <v>118</v>
      </c>
      <c r="J21">
        <f t="shared" si="5"/>
        <v>19</v>
      </c>
      <c r="K21">
        <f t="shared" si="6"/>
        <v>20</v>
      </c>
      <c r="L21">
        <v>10000</v>
      </c>
      <c r="M21">
        <v>0</v>
      </c>
      <c r="N21">
        <f t="shared" si="3"/>
        <v>44.444444444444443</v>
      </c>
      <c r="P21">
        <f t="shared" si="0"/>
        <v>8.0000000000000071E-2</v>
      </c>
    </row>
    <row r="22" spans="1:20" x14ac:dyDescent="0.35">
      <c r="A22">
        <f t="shared" si="1"/>
        <v>21</v>
      </c>
      <c r="B22">
        <v>13.22</v>
      </c>
      <c r="C22">
        <v>0</v>
      </c>
      <c r="I22">
        <f t="shared" si="4"/>
        <v>119</v>
      </c>
      <c r="J22">
        <f t="shared" si="5"/>
        <v>20</v>
      </c>
      <c r="K22">
        <f t="shared" si="6"/>
        <v>21</v>
      </c>
      <c r="L22">
        <v>10000</v>
      </c>
      <c r="M22">
        <v>0</v>
      </c>
      <c r="N22">
        <f t="shared" si="3"/>
        <v>44.444444444444443</v>
      </c>
      <c r="P22">
        <f t="shared" si="0"/>
        <v>8.0000000000000071E-2</v>
      </c>
    </row>
    <row r="23" spans="1:20" x14ac:dyDescent="0.35">
      <c r="A23">
        <f t="shared" si="1"/>
        <v>22</v>
      </c>
      <c r="B23">
        <v>13.67</v>
      </c>
      <c r="C23">
        <v>0</v>
      </c>
      <c r="G23">
        <v>1</v>
      </c>
      <c r="H23">
        <v>-1</v>
      </c>
      <c r="I23">
        <f t="shared" si="4"/>
        <v>120</v>
      </c>
      <c r="J23">
        <f t="shared" si="5"/>
        <v>21</v>
      </c>
      <c r="K23">
        <f t="shared" si="6"/>
        <v>22</v>
      </c>
      <c r="L23">
        <v>10000</v>
      </c>
      <c r="M23">
        <v>0</v>
      </c>
      <c r="N23">
        <f t="shared" si="3"/>
        <v>44.444444444444443</v>
      </c>
      <c r="P23">
        <f t="shared" si="0"/>
        <v>0.44999999999999929</v>
      </c>
    </row>
    <row r="24" spans="1:20" x14ac:dyDescent="0.35">
      <c r="A24">
        <f t="shared" si="1"/>
        <v>23</v>
      </c>
      <c r="B24">
        <v>14.081</v>
      </c>
      <c r="C24">
        <v>0</v>
      </c>
      <c r="G24">
        <v>1</v>
      </c>
      <c r="H24">
        <v>1</v>
      </c>
      <c r="I24">
        <f t="shared" si="4"/>
        <v>121</v>
      </c>
      <c r="J24">
        <f t="shared" si="5"/>
        <v>22</v>
      </c>
      <c r="K24">
        <f t="shared" si="6"/>
        <v>23</v>
      </c>
      <c r="L24">
        <v>10000</v>
      </c>
      <c r="M24">
        <v>0</v>
      </c>
      <c r="N24">
        <f t="shared" si="3"/>
        <v>44.444444444444443</v>
      </c>
      <c r="P24">
        <f t="shared" si="0"/>
        <v>0.41099999999999959</v>
      </c>
    </row>
    <row r="25" spans="1:20" x14ac:dyDescent="0.35">
      <c r="A25">
        <f t="shared" si="1"/>
        <v>24</v>
      </c>
      <c r="B25">
        <v>15.035</v>
      </c>
      <c r="C25">
        <v>0</v>
      </c>
      <c r="G25">
        <v>1</v>
      </c>
      <c r="H25">
        <v>-1</v>
      </c>
      <c r="I25">
        <f t="shared" si="4"/>
        <v>122</v>
      </c>
      <c r="J25">
        <f t="shared" si="5"/>
        <v>23</v>
      </c>
      <c r="K25">
        <f t="shared" si="6"/>
        <v>24</v>
      </c>
      <c r="L25">
        <v>10000</v>
      </c>
      <c r="M25">
        <v>0</v>
      </c>
      <c r="N25">
        <f>140/3.6</f>
        <v>38.888888888888886</v>
      </c>
      <c r="P25">
        <f t="shared" si="0"/>
        <v>0.95400000000000063</v>
      </c>
    </row>
    <row r="26" spans="1:20" x14ac:dyDescent="0.35">
      <c r="A26">
        <f t="shared" si="1"/>
        <v>25</v>
      </c>
      <c r="B26">
        <v>15.506</v>
      </c>
      <c r="C26">
        <v>0</v>
      </c>
      <c r="G26">
        <v>1</v>
      </c>
      <c r="H26">
        <v>1</v>
      </c>
      <c r="I26">
        <f t="shared" si="4"/>
        <v>123</v>
      </c>
      <c r="J26">
        <f t="shared" si="5"/>
        <v>24</v>
      </c>
      <c r="K26">
        <f t="shared" si="6"/>
        <v>25</v>
      </c>
      <c r="L26">
        <v>10000</v>
      </c>
      <c r="M26">
        <v>0</v>
      </c>
      <c r="N26">
        <f t="shared" ref="N26:N66" si="7">140/3.6</f>
        <v>38.888888888888886</v>
      </c>
      <c r="P26">
        <f t="shared" si="0"/>
        <v>0.47100000000000009</v>
      </c>
    </row>
    <row r="27" spans="1:20" x14ac:dyDescent="0.35">
      <c r="A27">
        <f t="shared" si="1"/>
        <v>26</v>
      </c>
      <c r="B27">
        <v>16.09</v>
      </c>
      <c r="C27">
        <v>0</v>
      </c>
      <c r="D27" t="s">
        <v>61</v>
      </c>
      <c r="E27">
        <v>1</v>
      </c>
      <c r="I27">
        <f t="shared" si="4"/>
        <v>124</v>
      </c>
      <c r="J27">
        <f t="shared" si="5"/>
        <v>25</v>
      </c>
      <c r="K27">
        <f t="shared" si="6"/>
        <v>26</v>
      </c>
      <c r="L27">
        <v>10000</v>
      </c>
      <c r="M27">
        <v>0</v>
      </c>
      <c r="N27">
        <f t="shared" si="7"/>
        <v>38.888888888888886</v>
      </c>
      <c r="P27">
        <f t="shared" ref="P27:P28" si="8">B27-B26</f>
        <v>0.58399999999999963</v>
      </c>
    </row>
    <row r="28" spans="1:20" x14ac:dyDescent="0.35">
      <c r="A28">
        <f t="shared" si="1"/>
        <v>27</v>
      </c>
      <c r="B28">
        <v>16.484000000000002</v>
      </c>
      <c r="C28">
        <v>0</v>
      </c>
      <c r="G28">
        <v>1</v>
      </c>
      <c r="H28">
        <v>-1</v>
      </c>
      <c r="I28">
        <f t="shared" si="4"/>
        <v>125</v>
      </c>
      <c r="J28">
        <f t="shared" si="5"/>
        <v>26</v>
      </c>
      <c r="K28">
        <f t="shared" si="6"/>
        <v>27</v>
      </c>
      <c r="L28">
        <v>10000</v>
      </c>
      <c r="M28">
        <v>0</v>
      </c>
      <c r="N28">
        <f t="shared" si="7"/>
        <v>38.888888888888886</v>
      </c>
      <c r="P28">
        <f t="shared" si="8"/>
        <v>0.3940000000000019</v>
      </c>
    </row>
    <row r="29" spans="1:20" x14ac:dyDescent="0.35">
      <c r="A29">
        <f t="shared" si="1"/>
        <v>28</v>
      </c>
      <c r="B29">
        <v>17.010000000000002</v>
      </c>
      <c r="C29">
        <v>0</v>
      </c>
      <c r="G29">
        <v>1</v>
      </c>
      <c r="H29">
        <v>1</v>
      </c>
      <c r="I29">
        <f t="shared" si="4"/>
        <v>126</v>
      </c>
      <c r="J29">
        <f t="shared" si="5"/>
        <v>27</v>
      </c>
      <c r="K29">
        <f t="shared" si="6"/>
        <v>28</v>
      </c>
      <c r="L29">
        <v>10000</v>
      </c>
      <c r="M29">
        <v>0</v>
      </c>
      <c r="N29">
        <f t="shared" si="7"/>
        <v>38.888888888888886</v>
      </c>
      <c r="P29">
        <f t="shared" si="0"/>
        <v>0.5259999999999998</v>
      </c>
    </row>
    <row r="30" spans="1:20" x14ac:dyDescent="0.35">
      <c r="A30">
        <f t="shared" si="1"/>
        <v>29</v>
      </c>
      <c r="B30">
        <v>17.21</v>
      </c>
      <c r="C30">
        <v>0</v>
      </c>
      <c r="F30">
        <v>1</v>
      </c>
      <c r="I30">
        <f t="shared" si="4"/>
        <v>127</v>
      </c>
      <c r="J30">
        <f t="shared" si="5"/>
        <v>28</v>
      </c>
      <c r="K30">
        <f t="shared" si="6"/>
        <v>29</v>
      </c>
      <c r="L30">
        <v>10000</v>
      </c>
      <c r="M30">
        <v>0</v>
      </c>
      <c r="N30">
        <f t="shared" si="7"/>
        <v>38.888888888888886</v>
      </c>
      <c r="P30">
        <f t="shared" si="0"/>
        <v>0.19999999999999929</v>
      </c>
    </row>
    <row r="31" spans="1:20" x14ac:dyDescent="0.35">
      <c r="A31">
        <f t="shared" si="1"/>
        <v>30</v>
      </c>
      <c r="B31">
        <v>17.29</v>
      </c>
      <c r="C31">
        <v>0</v>
      </c>
      <c r="I31">
        <f t="shared" si="4"/>
        <v>128</v>
      </c>
      <c r="J31">
        <f t="shared" si="5"/>
        <v>29</v>
      </c>
      <c r="K31">
        <f t="shared" si="6"/>
        <v>30</v>
      </c>
      <c r="L31">
        <v>10000</v>
      </c>
      <c r="M31">
        <v>0</v>
      </c>
      <c r="N31">
        <f t="shared" si="7"/>
        <v>38.888888888888886</v>
      </c>
      <c r="P31">
        <f t="shared" si="0"/>
        <v>7.9999999999998295E-2</v>
      </c>
    </row>
    <row r="32" spans="1:20" x14ac:dyDescent="0.35">
      <c r="A32">
        <f t="shared" si="1"/>
        <v>31</v>
      </c>
      <c r="B32">
        <v>17.452999999999999</v>
      </c>
      <c r="C32">
        <v>0</v>
      </c>
      <c r="I32">
        <f t="shared" si="4"/>
        <v>129</v>
      </c>
      <c r="J32">
        <f t="shared" si="5"/>
        <v>30</v>
      </c>
      <c r="K32">
        <f t="shared" si="6"/>
        <v>31</v>
      </c>
      <c r="L32">
        <v>10000</v>
      </c>
      <c r="M32">
        <v>0</v>
      </c>
      <c r="N32">
        <f t="shared" si="7"/>
        <v>38.888888888888886</v>
      </c>
      <c r="P32">
        <f t="shared" si="0"/>
        <v>0.16300000000000026</v>
      </c>
    </row>
    <row r="33" spans="1:16" x14ac:dyDescent="0.35">
      <c r="A33">
        <f t="shared" si="1"/>
        <v>32</v>
      </c>
      <c r="B33">
        <v>18.033000000000001</v>
      </c>
      <c r="C33">
        <v>0</v>
      </c>
      <c r="G33">
        <v>1</v>
      </c>
      <c r="H33">
        <v>-1</v>
      </c>
      <c r="I33">
        <f t="shared" si="4"/>
        <v>130</v>
      </c>
      <c r="J33">
        <f t="shared" si="5"/>
        <v>31</v>
      </c>
      <c r="K33">
        <f t="shared" si="6"/>
        <v>32</v>
      </c>
      <c r="L33">
        <v>10000</v>
      </c>
      <c r="M33">
        <v>0</v>
      </c>
      <c r="N33">
        <f t="shared" si="7"/>
        <v>38.888888888888886</v>
      </c>
      <c r="P33">
        <f t="shared" si="0"/>
        <v>0.58000000000000185</v>
      </c>
    </row>
    <row r="34" spans="1:16" x14ac:dyDescent="0.35">
      <c r="A34">
        <f t="shared" si="1"/>
        <v>33</v>
      </c>
      <c r="B34">
        <v>18.646999999999998</v>
      </c>
      <c r="C34">
        <v>0</v>
      </c>
      <c r="I34">
        <f t="shared" si="4"/>
        <v>131</v>
      </c>
      <c r="J34">
        <f t="shared" si="5"/>
        <v>32</v>
      </c>
      <c r="K34">
        <f t="shared" si="6"/>
        <v>33</v>
      </c>
      <c r="L34">
        <v>10000</v>
      </c>
      <c r="M34">
        <v>0</v>
      </c>
      <c r="N34">
        <f t="shared" si="7"/>
        <v>38.888888888888886</v>
      </c>
      <c r="P34">
        <f t="shared" si="0"/>
        <v>0.61399999999999721</v>
      </c>
    </row>
    <row r="35" spans="1:16" x14ac:dyDescent="0.35">
      <c r="A35">
        <f t="shared" si="1"/>
        <v>34</v>
      </c>
      <c r="B35">
        <v>18.75</v>
      </c>
      <c r="C35">
        <v>0</v>
      </c>
      <c r="D35" t="s">
        <v>15</v>
      </c>
      <c r="I35">
        <f t="shared" si="4"/>
        <v>132</v>
      </c>
      <c r="J35">
        <f t="shared" si="5"/>
        <v>33</v>
      </c>
      <c r="K35">
        <f t="shared" si="6"/>
        <v>34</v>
      </c>
      <c r="L35">
        <v>10000</v>
      </c>
      <c r="M35">
        <v>0</v>
      </c>
      <c r="N35">
        <f t="shared" si="7"/>
        <v>38.888888888888886</v>
      </c>
      <c r="P35">
        <f t="shared" si="0"/>
        <v>0.10300000000000153</v>
      </c>
    </row>
    <row r="36" spans="1:16" x14ac:dyDescent="0.35">
      <c r="A36">
        <f t="shared" si="1"/>
        <v>35</v>
      </c>
      <c r="B36">
        <v>18.823</v>
      </c>
      <c r="C36">
        <v>0</v>
      </c>
      <c r="G36">
        <v>1</v>
      </c>
      <c r="H36">
        <v>1</v>
      </c>
      <c r="I36">
        <f t="shared" si="4"/>
        <v>133</v>
      </c>
      <c r="J36">
        <f t="shared" si="5"/>
        <v>34</v>
      </c>
      <c r="K36">
        <f t="shared" si="6"/>
        <v>35</v>
      </c>
      <c r="L36">
        <v>10000</v>
      </c>
      <c r="M36">
        <v>0</v>
      </c>
      <c r="N36">
        <f t="shared" si="7"/>
        <v>38.888888888888886</v>
      </c>
      <c r="P36">
        <f t="shared" ref="P36:P67" si="9">B36-B35</f>
        <v>7.3000000000000398E-2</v>
      </c>
    </row>
    <row r="37" spans="1:16" x14ac:dyDescent="0.35">
      <c r="A37">
        <f t="shared" si="1"/>
        <v>36</v>
      </c>
      <c r="B37">
        <v>19.422999999999998</v>
      </c>
      <c r="C37">
        <v>0</v>
      </c>
      <c r="I37">
        <f t="shared" si="4"/>
        <v>134</v>
      </c>
      <c r="J37">
        <f t="shared" si="5"/>
        <v>35</v>
      </c>
      <c r="K37">
        <f t="shared" si="6"/>
        <v>36</v>
      </c>
      <c r="L37">
        <v>10000</v>
      </c>
      <c r="M37">
        <v>0</v>
      </c>
      <c r="N37">
        <f t="shared" si="7"/>
        <v>38.888888888888886</v>
      </c>
      <c r="P37">
        <f t="shared" si="9"/>
        <v>0.59999999999999787</v>
      </c>
    </row>
    <row r="38" spans="1:16" x14ac:dyDescent="0.35">
      <c r="A38">
        <f t="shared" si="1"/>
        <v>37</v>
      </c>
      <c r="B38">
        <v>19.507000000000001</v>
      </c>
      <c r="C38">
        <v>0</v>
      </c>
      <c r="I38">
        <f t="shared" si="4"/>
        <v>135</v>
      </c>
      <c r="J38">
        <f t="shared" si="5"/>
        <v>36</v>
      </c>
      <c r="K38">
        <f t="shared" si="6"/>
        <v>37</v>
      </c>
      <c r="L38">
        <v>10000</v>
      </c>
      <c r="M38">
        <v>0</v>
      </c>
      <c r="N38">
        <f t="shared" si="7"/>
        <v>38.888888888888886</v>
      </c>
      <c r="P38">
        <f t="shared" si="9"/>
        <v>8.4000000000003183E-2</v>
      </c>
    </row>
    <row r="39" spans="1:16" x14ac:dyDescent="0.35">
      <c r="A39">
        <f t="shared" si="1"/>
        <v>38</v>
      </c>
      <c r="B39">
        <v>19.600000000000001</v>
      </c>
      <c r="C39">
        <v>0</v>
      </c>
      <c r="D39" t="s">
        <v>16</v>
      </c>
      <c r="I39">
        <f t="shared" si="4"/>
        <v>136</v>
      </c>
      <c r="J39">
        <f t="shared" si="5"/>
        <v>37</v>
      </c>
      <c r="K39">
        <f t="shared" si="6"/>
        <v>38</v>
      </c>
      <c r="L39">
        <v>10000</v>
      </c>
      <c r="M39">
        <v>0</v>
      </c>
      <c r="N39">
        <f t="shared" si="7"/>
        <v>38.888888888888886</v>
      </c>
      <c r="P39">
        <f t="shared" si="9"/>
        <v>9.2999999999999972E-2</v>
      </c>
    </row>
    <row r="40" spans="1:16" x14ac:dyDescent="0.35">
      <c r="A40">
        <f t="shared" si="1"/>
        <v>39</v>
      </c>
      <c r="B40">
        <v>19.943000000000001</v>
      </c>
      <c r="C40">
        <v>0</v>
      </c>
      <c r="G40">
        <v>1</v>
      </c>
      <c r="H40">
        <v>-1</v>
      </c>
      <c r="I40">
        <f t="shared" si="4"/>
        <v>137</v>
      </c>
      <c r="J40">
        <f t="shared" si="5"/>
        <v>38</v>
      </c>
      <c r="K40">
        <f t="shared" si="6"/>
        <v>39</v>
      </c>
      <c r="L40">
        <v>10000</v>
      </c>
      <c r="M40">
        <v>0</v>
      </c>
      <c r="N40">
        <f t="shared" si="7"/>
        <v>38.888888888888886</v>
      </c>
      <c r="P40">
        <f t="shared" si="9"/>
        <v>0.34299999999999997</v>
      </c>
    </row>
    <row r="41" spans="1:16" x14ac:dyDescent="0.35">
      <c r="A41">
        <f t="shared" si="1"/>
        <v>40</v>
      </c>
      <c r="B41">
        <v>20.353999999999999</v>
      </c>
      <c r="C41">
        <v>0</v>
      </c>
      <c r="G41">
        <v>1</v>
      </c>
      <c r="H41">
        <v>1</v>
      </c>
      <c r="I41">
        <f t="shared" si="4"/>
        <v>138</v>
      </c>
      <c r="J41">
        <f t="shared" si="5"/>
        <v>39</v>
      </c>
      <c r="K41">
        <f t="shared" si="6"/>
        <v>40</v>
      </c>
      <c r="L41">
        <v>10000</v>
      </c>
      <c r="M41">
        <v>0</v>
      </c>
      <c r="N41">
        <f t="shared" si="7"/>
        <v>38.888888888888886</v>
      </c>
      <c r="P41">
        <f t="shared" si="9"/>
        <v>0.41099999999999781</v>
      </c>
    </row>
    <row r="42" spans="1:16" x14ac:dyDescent="0.35">
      <c r="A42">
        <f t="shared" si="1"/>
        <v>41</v>
      </c>
      <c r="B42">
        <v>21.347999999999999</v>
      </c>
      <c r="C42">
        <v>0</v>
      </c>
      <c r="G42">
        <v>1</v>
      </c>
      <c r="H42">
        <v>-1</v>
      </c>
      <c r="I42">
        <f t="shared" si="4"/>
        <v>139</v>
      </c>
      <c r="J42">
        <f t="shared" si="5"/>
        <v>40</v>
      </c>
      <c r="K42">
        <f t="shared" si="6"/>
        <v>41</v>
      </c>
      <c r="L42">
        <v>10000</v>
      </c>
      <c r="M42">
        <v>0</v>
      </c>
      <c r="N42">
        <f t="shared" si="7"/>
        <v>38.888888888888886</v>
      </c>
      <c r="P42">
        <f t="shared" si="9"/>
        <v>0.99399999999999977</v>
      </c>
    </row>
    <row r="43" spans="1:16" x14ac:dyDescent="0.35">
      <c r="A43">
        <f t="shared" si="1"/>
        <v>42</v>
      </c>
      <c r="B43">
        <v>21.914000000000001</v>
      </c>
      <c r="C43">
        <v>0</v>
      </c>
      <c r="G43">
        <v>1</v>
      </c>
      <c r="H43">
        <v>1</v>
      </c>
      <c r="I43">
        <f t="shared" si="4"/>
        <v>140</v>
      </c>
      <c r="J43">
        <f t="shared" si="5"/>
        <v>41</v>
      </c>
      <c r="K43">
        <f t="shared" si="6"/>
        <v>42</v>
      </c>
      <c r="L43">
        <v>10000</v>
      </c>
      <c r="M43">
        <v>0</v>
      </c>
      <c r="N43">
        <f t="shared" si="7"/>
        <v>38.888888888888886</v>
      </c>
      <c r="P43">
        <f t="shared" si="9"/>
        <v>0.5660000000000025</v>
      </c>
    </row>
    <row r="44" spans="1:16" x14ac:dyDescent="0.35">
      <c r="A44">
        <f t="shared" si="1"/>
        <v>43</v>
      </c>
      <c r="B44">
        <v>22.61</v>
      </c>
      <c r="C44">
        <v>0</v>
      </c>
      <c r="D44" t="s">
        <v>17</v>
      </c>
      <c r="I44">
        <f t="shared" si="4"/>
        <v>141</v>
      </c>
      <c r="J44">
        <f t="shared" si="5"/>
        <v>42</v>
      </c>
      <c r="K44">
        <f t="shared" si="6"/>
        <v>43</v>
      </c>
      <c r="L44">
        <v>10000</v>
      </c>
      <c r="M44">
        <v>0</v>
      </c>
      <c r="N44">
        <f t="shared" si="7"/>
        <v>38.888888888888886</v>
      </c>
      <c r="P44">
        <f t="shared" si="9"/>
        <v>0.69599999999999795</v>
      </c>
    </row>
    <row r="45" spans="1:16" x14ac:dyDescent="0.35">
      <c r="A45">
        <f t="shared" si="1"/>
        <v>44</v>
      </c>
      <c r="B45">
        <v>22.885999999999999</v>
      </c>
      <c r="C45">
        <v>0</v>
      </c>
      <c r="G45">
        <v>1</v>
      </c>
      <c r="H45">
        <v>-1</v>
      </c>
      <c r="I45">
        <f t="shared" si="4"/>
        <v>142</v>
      </c>
      <c r="J45">
        <f t="shared" si="5"/>
        <v>43</v>
      </c>
      <c r="K45">
        <f t="shared" si="6"/>
        <v>44</v>
      </c>
      <c r="L45">
        <v>10000</v>
      </c>
      <c r="M45">
        <v>0</v>
      </c>
      <c r="N45">
        <f t="shared" si="7"/>
        <v>38.888888888888886</v>
      </c>
      <c r="P45">
        <f t="shared" si="9"/>
        <v>0.2759999999999998</v>
      </c>
    </row>
    <row r="46" spans="1:16" x14ac:dyDescent="0.35">
      <c r="A46">
        <f t="shared" si="1"/>
        <v>45</v>
      </c>
      <c r="B46">
        <v>22.946000000000002</v>
      </c>
      <c r="C46">
        <v>0</v>
      </c>
      <c r="G46">
        <v>1</v>
      </c>
      <c r="H46">
        <v>1</v>
      </c>
      <c r="I46">
        <f t="shared" si="4"/>
        <v>143</v>
      </c>
      <c r="J46">
        <f t="shared" si="5"/>
        <v>44</v>
      </c>
      <c r="K46">
        <f t="shared" si="6"/>
        <v>45</v>
      </c>
      <c r="L46">
        <v>10000</v>
      </c>
      <c r="M46">
        <v>0</v>
      </c>
      <c r="N46">
        <f t="shared" si="7"/>
        <v>38.888888888888886</v>
      </c>
      <c r="P46">
        <f t="shared" si="9"/>
        <v>6.0000000000002274E-2</v>
      </c>
    </row>
    <row r="47" spans="1:16" x14ac:dyDescent="0.35">
      <c r="A47">
        <f t="shared" si="1"/>
        <v>46</v>
      </c>
      <c r="B47">
        <v>24.241</v>
      </c>
      <c r="C47">
        <v>0</v>
      </c>
      <c r="G47">
        <v>1</v>
      </c>
      <c r="H47">
        <v>-1</v>
      </c>
      <c r="I47">
        <f t="shared" si="4"/>
        <v>144</v>
      </c>
      <c r="J47">
        <f t="shared" si="5"/>
        <v>45</v>
      </c>
      <c r="K47">
        <f t="shared" si="6"/>
        <v>46</v>
      </c>
      <c r="L47">
        <v>10000</v>
      </c>
      <c r="M47">
        <v>0</v>
      </c>
      <c r="N47">
        <f t="shared" si="7"/>
        <v>38.888888888888886</v>
      </c>
      <c r="P47">
        <f t="shared" si="9"/>
        <v>1.2949999999999982</v>
      </c>
    </row>
    <row r="48" spans="1:16" x14ac:dyDescent="0.35">
      <c r="A48">
        <f t="shared" si="1"/>
        <v>47</v>
      </c>
      <c r="B48">
        <v>24.305</v>
      </c>
      <c r="C48">
        <v>0</v>
      </c>
      <c r="G48">
        <v>1</v>
      </c>
      <c r="H48">
        <v>1</v>
      </c>
      <c r="I48">
        <f t="shared" si="4"/>
        <v>145</v>
      </c>
      <c r="J48">
        <f t="shared" si="5"/>
        <v>46</v>
      </c>
      <c r="K48">
        <f t="shared" si="6"/>
        <v>47</v>
      </c>
      <c r="L48">
        <v>10000</v>
      </c>
      <c r="M48">
        <v>0</v>
      </c>
      <c r="N48">
        <f t="shared" si="7"/>
        <v>38.888888888888886</v>
      </c>
      <c r="P48">
        <f t="shared" si="9"/>
        <v>6.4000000000000057E-2</v>
      </c>
    </row>
    <row r="49" spans="1:16" x14ac:dyDescent="0.35">
      <c r="A49">
        <f t="shared" si="1"/>
        <v>48</v>
      </c>
      <c r="B49">
        <v>24.585000000000001</v>
      </c>
      <c r="C49">
        <v>0</v>
      </c>
      <c r="D49" t="s">
        <v>19</v>
      </c>
      <c r="I49">
        <f t="shared" si="4"/>
        <v>146</v>
      </c>
      <c r="J49">
        <f t="shared" si="5"/>
        <v>47</v>
      </c>
      <c r="K49">
        <f t="shared" si="6"/>
        <v>48</v>
      </c>
      <c r="L49">
        <v>10000</v>
      </c>
      <c r="M49">
        <v>0</v>
      </c>
      <c r="N49">
        <f t="shared" si="7"/>
        <v>38.888888888888886</v>
      </c>
      <c r="P49">
        <f t="shared" si="9"/>
        <v>0.28000000000000114</v>
      </c>
    </row>
    <row r="50" spans="1:16" x14ac:dyDescent="0.35">
      <c r="A50">
        <f t="shared" si="1"/>
        <v>49</v>
      </c>
      <c r="B50">
        <v>25.207999999999998</v>
      </c>
      <c r="C50">
        <v>0</v>
      </c>
      <c r="G50">
        <v>1</v>
      </c>
      <c r="H50">
        <v>-1</v>
      </c>
      <c r="I50">
        <f t="shared" si="4"/>
        <v>147</v>
      </c>
      <c r="J50">
        <f t="shared" si="5"/>
        <v>48</v>
      </c>
      <c r="K50">
        <f t="shared" si="6"/>
        <v>49</v>
      </c>
      <c r="L50">
        <v>10000</v>
      </c>
      <c r="M50">
        <v>0</v>
      </c>
      <c r="N50">
        <f t="shared" si="7"/>
        <v>38.888888888888886</v>
      </c>
      <c r="P50">
        <f t="shared" si="9"/>
        <v>0.62299999999999756</v>
      </c>
    </row>
    <row r="51" spans="1:16" x14ac:dyDescent="0.35">
      <c r="A51">
        <f t="shared" si="1"/>
        <v>50</v>
      </c>
      <c r="B51">
        <v>25.32</v>
      </c>
      <c r="C51">
        <v>0</v>
      </c>
      <c r="G51">
        <v>1</v>
      </c>
      <c r="H51">
        <v>1</v>
      </c>
      <c r="I51">
        <f t="shared" si="4"/>
        <v>148</v>
      </c>
      <c r="J51">
        <f t="shared" si="5"/>
        <v>49</v>
      </c>
      <c r="K51">
        <f t="shared" si="6"/>
        <v>50</v>
      </c>
      <c r="L51">
        <v>10000</v>
      </c>
      <c r="M51">
        <v>0</v>
      </c>
      <c r="N51">
        <f t="shared" si="7"/>
        <v>38.888888888888886</v>
      </c>
      <c r="P51">
        <f t="shared" si="9"/>
        <v>0.11200000000000188</v>
      </c>
    </row>
    <row r="52" spans="1:16" x14ac:dyDescent="0.35">
      <c r="A52">
        <f t="shared" si="1"/>
        <v>51</v>
      </c>
      <c r="B52">
        <v>25.52</v>
      </c>
      <c r="C52">
        <v>0</v>
      </c>
      <c r="F52">
        <v>1</v>
      </c>
      <c r="I52">
        <f t="shared" si="4"/>
        <v>149</v>
      </c>
      <c r="J52">
        <f t="shared" si="5"/>
        <v>50</v>
      </c>
      <c r="K52">
        <f t="shared" si="6"/>
        <v>51</v>
      </c>
      <c r="L52">
        <v>10000</v>
      </c>
      <c r="M52">
        <v>0</v>
      </c>
      <c r="N52">
        <f t="shared" si="7"/>
        <v>38.888888888888886</v>
      </c>
      <c r="P52">
        <f t="shared" si="9"/>
        <v>0.19999999999999929</v>
      </c>
    </row>
    <row r="53" spans="1:16" x14ac:dyDescent="0.35">
      <c r="A53">
        <f t="shared" si="1"/>
        <v>52</v>
      </c>
      <c r="B53">
        <v>25.6</v>
      </c>
      <c r="C53">
        <v>0</v>
      </c>
      <c r="I53">
        <f t="shared" si="4"/>
        <v>150</v>
      </c>
      <c r="J53">
        <f t="shared" si="5"/>
        <v>51</v>
      </c>
      <c r="K53">
        <f t="shared" si="6"/>
        <v>52</v>
      </c>
      <c r="L53">
        <v>10000</v>
      </c>
      <c r="M53">
        <v>0</v>
      </c>
      <c r="N53">
        <f t="shared" si="7"/>
        <v>38.888888888888886</v>
      </c>
      <c r="P53">
        <f t="shared" si="9"/>
        <v>8.0000000000001847E-2</v>
      </c>
    </row>
    <row r="54" spans="1:16" x14ac:dyDescent="0.35">
      <c r="A54">
        <f t="shared" si="1"/>
        <v>53</v>
      </c>
      <c r="B54">
        <v>26.43</v>
      </c>
      <c r="C54">
        <v>0</v>
      </c>
      <c r="I54">
        <f t="shared" si="4"/>
        <v>151</v>
      </c>
      <c r="J54">
        <f t="shared" si="5"/>
        <v>52</v>
      </c>
      <c r="K54">
        <f t="shared" si="6"/>
        <v>53</v>
      </c>
      <c r="L54">
        <v>10000</v>
      </c>
      <c r="M54">
        <v>0</v>
      </c>
      <c r="N54">
        <f t="shared" si="7"/>
        <v>38.888888888888886</v>
      </c>
      <c r="P54">
        <f t="shared" si="9"/>
        <v>0.82999999999999829</v>
      </c>
    </row>
    <row r="55" spans="1:16" x14ac:dyDescent="0.35">
      <c r="A55">
        <f t="shared" si="1"/>
        <v>54</v>
      </c>
      <c r="B55">
        <v>26.49</v>
      </c>
      <c r="C55">
        <v>0</v>
      </c>
      <c r="I55">
        <f t="shared" si="4"/>
        <v>152</v>
      </c>
      <c r="J55">
        <f t="shared" si="5"/>
        <v>53</v>
      </c>
      <c r="K55">
        <f t="shared" si="6"/>
        <v>54</v>
      </c>
      <c r="L55">
        <v>10000</v>
      </c>
      <c r="M55">
        <v>0</v>
      </c>
      <c r="N55">
        <f t="shared" si="7"/>
        <v>38.888888888888886</v>
      </c>
      <c r="P55">
        <f t="shared" si="9"/>
        <v>5.9999999999998721E-2</v>
      </c>
    </row>
    <row r="56" spans="1:16" x14ac:dyDescent="0.35">
      <c r="A56">
        <f t="shared" si="1"/>
        <v>55</v>
      </c>
      <c r="B56">
        <v>26.533999999999999</v>
      </c>
      <c r="C56">
        <v>0</v>
      </c>
      <c r="I56">
        <f t="shared" si="4"/>
        <v>153</v>
      </c>
      <c r="J56">
        <f t="shared" si="5"/>
        <v>54</v>
      </c>
      <c r="K56">
        <f t="shared" si="6"/>
        <v>55</v>
      </c>
      <c r="L56">
        <v>10000</v>
      </c>
      <c r="M56">
        <v>0</v>
      </c>
      <c r="N56">
        <f t="shared" si="7"/>
        <v>38.888888888888886</v>
      </c>
      <c r="P56">
        <f t="shared" si="9"/>
        <v>4.4000000000000483E-2</v>
      </c>
    </row>
    <row r="57" spans="1:16" x14ac:dyDescent="0.35">
      <c r="A57">
        <f t="shared" si="1"/>
        <v>56</v>
      </c>
      <c r="B57">
        <v>26.878</v>
      </c>
      <c r="C57">
        <v>0</v>
      </c>
      <c r="G57">
        <v>1</v>
      </c>
      <c r="H57">
        <v>-1</v>
      </c>
      <c r="I57">
        <f t="shared" si="4"/>
        <v>154</v>
      </c>
      <c r="J57">
        <f t="shared" si="5"/>
        <v>55</v>
      </c>
      <c r="K57">
        <f t="shared" si="6"/>
        <v>56</v>
      </c>
      <c r="L57">
        <v>10000</v>
      </c>
      <c r="M57">
        <v>0</v>
      </c>
      <c r="N57">
        <f t="shared" si="7"/>
        <v>38.888888888888886</v>
      </c>
      <c r="P57">
        <f t="shared" si="9"/>
        <v>0.34400000000000119</v>
      </c>
    </row>
    <row r="58" spans="1:16" x14ac:dyDescent="0.35">
      <c r="A58">
        <f t="shared" si="1"/>
        <v>57</v>
      </c>
      <c r="B58">
        <v>27.152000000000001</v>
      </c>
      <c r="C58">
        <v>0</v>
      </c>
      <c r="D58" t="s">
        <v>20</v>
      </c>
      <c r="I58">
        <f t="shared" si="4"/>
        <v>155</v>
      </c>
      <c r="J58">
        <f t="shared" si="5"/>
        <v>56</v>
      </c>
      <c r="K58">
        <f t="shared" si="6"/>
        <v>57</v>
      </c>
      <c r="L58">
        <v>10000</v>
      </c>
      <c r="M58">
        <v>0</v>
      </c>
      <c r="N58">
        <f t="shared" si="7"/>
        <v>38.888888888888886</v>
      </c>
      <c r="P58">
        <f t="shared" si="9"/>
        <v>0.27400000000000091</v>
      </c>
    </row>
    <row r="59" spans="1:16" x14ac:dyDescent="0.35">
      <c r="A59">
        <f t="shared" si="1"/>
        <v>58</v>
      </c>
      <c r="B59">
        <v>27.154</v>
      </c>
      <c r="C59">
        <v>0</v>
      </c>
      <c r="G59">
        <v>1</v>
      </c>
      <c r="H59">
        <v>1</v>
      </c>
      <c r="I59">
        <f t="shared" si="4"/>
        <v>156</v>
      </c>
      <c r="J59">
        <f t="shared" si="5"/>
        <v>57</v>
      </c>
      <c r="K59">
        <f t="shared" si="6"/>
        <v>58</v>
      </c>
      <c r="L59">
        <v>10000</v>
      </c>
      <c r="M59">
        <v>0</v>
      </c>
      <c r="N59">
        <f t="shared" si="7"/>
        <v>38.888888888888886</v>
      </c>
      <c r="P59">
        <f t="shared" si="9"/>
        <v>1.9999999999988916E-3</v>
      </c>
    </row>
    <row r="60" spans="1:16" x14ac:dyDescent="0.35">
      <c r="A60">
        <f t="shared" si="1"/>
        <v>59</v>
      </c>
      <c r="B60">
        <v>27.155000000000001</v>
      </c>
      <c r="C60">
        <v>0</v>
      </c>
      <c r="I60">
        <f t="shared" si="4"/>
        <v>157</v>
      </c>
      <c r="J60">
        <f t="shared" si="5"/>
        <v>58</v>
      </c>
      <c r="K60">
        <f t="shared" si="6"/>
        <v>59</v>
      </c>
      <c r="L60">
        <v>10000</v>
      </c>
      <c r="M60">
        <v>0</v>
      </c>
      <c r="N60">
        <f t="shared" si="7"/>
        <v>38.888888888888886</v>
      </c>
      <c r="P60">
        <f t="shared" si="9"/>
        <v>1.0000000000012221E-3</v>
      </c>
    </row>
    <row r="61" spans="1:16" x14ac:dyDescent="0.35">
      <c r="A61">
        <f t="shared" si="1"/>
        <v>60</v>
      </c>
      <c r="B61">
        <v>27.209</v>
      </c>
      <c r="C61">
        <v>0</v>
      </c>
      <c r="G61">
        <v>1</v>
      </c>
      <c r="H61">
        <v>-1</v>
      </c>
      <c r="I61">
        <f t="shared" si="4"/>
        <v>158</v>
      </c>
      <c r="J61">
        <f t="shared" si="5"/>
        <v>59</v>
      </c>
      <c r="K61">
        <f t="shared" si="6"/>
        <v>60</v>
      </c>
      <c r="L61">
        <v>10000</v>
      </c>
      <c r="M61">
        <v>0</v>
      </c>
      <c r="N61">
        <f t="shared" si="7"/>
        <v>38.888888888888886</v>
      </c>
      <c r="P61">
        <f t="shared" si="9"/>
        <v>5.3999999999998494E-2</v>
      </c>
    </row>
    <row r="62" spans="1:16" x14ac:dyDescent="0.35">
      <c r="A62">
        <f t="shared" si="1"/>
        <v>61</v>
      </c>
      <c r="B62">
        <v>27.33</v>
      </c>
      <c r="C62">
        <v>0</v>
      </c>
      <c r="I62">
        <f t="shared" si="4"/>
        <v>159</v>
      </c>
      <c r="J62">
        <f t="shared" si="5"/>
        <v>60</v>
      </c>
      <c r="K62">
        <f t="shared" si="6"/>
        <v>61</v>
      </c>
      <c r="L62">
        <v>10000</v>
      </c>
      <c r="M62">
        <v>0</v>
      </c>
      <c r="N62">
        <f t="shared" si="7"/>
        <v>38.888888888888886</v>
      </c>
      <c r="P62">
        <f t="shared" si="9"/>
        <v>0.12099999999999866</v>
      </c>
    </row>
    <row r="63" spans="1:16" x14ac:dyDescent="0.35">
      <c r="A63">
        <f t="shared" si="1"/>
        <v>62</v>
      </c>
      <c r="B63">
        <v>27.413</v>
      </c>
      <c r="C63">
        <v>0</v>
      </c>
      <c r="F63">
        <v>1</v>
      </c>
      <c r="I63">
        <f t="shared" si="4"/>
        <v>160</v>
      </c>
      <c r="J63">
        <f t="shared" si="5"/>
        <v>61</v>
      </c>
      <c r="K63">
        <f t="shared" si="6"/>
        <v>62</v>
      </c>
      <c r="L63">
        <v>10000</v>
      </c>
      <c r="M63">
        <v>0</v>
      </c>
      <c r="N63">
        <f t="shared" si="7"/>
        <v>38.888888888888886</v>
      </c>
      <c r="P63">
        <f t="shared" si="9"/>
        <v>8.3000000000001961E-2</v>
      </c>
    </row>
    <row r="64" spans="1:16" x14ac:dyDescent="0.35">
      <c r="A64">
        <f t="shared" si="1"/>
        <v>63</v>
      </c>
      <c r="B64">
        <v>28.152999999999999</v>
      </c>
      <c r="C64">
        <v>0</v>
      </c>
      <c r="G64">
        <v>1</v>
      </c>
      <c r="H64">
        <v>0</v>
      </c>
      <c r="I64">
        <f t="shared" si="4"/>
        <v>161</v>
      </c>
      <c r="J64">
        <f t="shared" si="5"/>
        <v>62</v>
      </c>
      <c r="K64">
        <f t="shared" si="6"/>
        <v>63</v>
      </c>
      <c r="L64">
        <v>10000</v>
      </c>
      <c r="M64">
        <v>0</v>
      </c>
      <c r="N64">
        <f t="shared" si="7"/>
        <v>38.888888888888886</v>
      </c>
      <c r="P64">
        <f t="shared" si="9"/>
        <v>0.73999999999999844</v>
      </c>
    </row>
    <row r="65" spans="1:16" x14ac:dyDescent="0.35">
      <c r="A65">
        <f t="shared" si="1"/>
        <v>64</v>
      </c>
      <c r="B65">
        <v>28.47</v>
      </c>
      <c r="C65">
        <v>0</v>
      </c>
      <c r="G65">
        <v>1</v>
      </c>
      <c r="H65">
        <v>-1</v>
      </c>
      <c r="I65">
        <f t="shared" si="4"/>
        <v>162</v>
      </c>
      <c r="J65">
        <f t="shared" si="5"/>
        <v>63</v>
      </c>
      <c r="K65">
        <f t="shared" si="6"/>
        <v>64</v>
      </c>
      <c r="L65">
        <v>10000</v>
      </c>
      <c r="M65">
        <v>0</v>
      </c>
      <c r="N65">
        <f t="shared" si="7"/>
        <v>38.888888888888886</v>
      </c>
      <c r="P65">
        <f t="shared" si="9"/>
        <v>0.31700000000000017</v>
      </c>
    </row>
    <row r="66" spans="1:16" x14ac:dyDescent="0.35">
      <c r="A66">
        <f t="shared" si="1"/>
        <v>65</v>
      </c>
      <c r="B66">
        <v>29</v>
      </c>
      <c r="C66">
        <v>0</v>
      </c>
      <c r="I66">
        <f t="shared" si="4"/>
        <v>163</v>
      </c>
      <c r="J66">
        <f t="shared" si="5"/>
        <v>64</v>
      </c>
      <c r="K66">
        <f t="shared" si="6"/>
        <v>65</v>
      </c>
      <c r="L66">
        <v>10000</v>
      </c>
      <c r="M66">
        <v>0</v>
      </c>
      <c r="N66">
        <f t="shared" si="7"/>
        <v>38.888888888888886</v>
      </c>
      <c r="P66">
        <f t="shared" si="9"/>
        <v>0.53000000000000114</v>
      </c>
    </row>
    <row r="67" spans="1:16" x14ac:dyDescent="0.35">
      <c r="A67">
        <f t="shared" si="1"/>
        <v>66</v>
      </c>
      <c r="B67">
        <v>29.055</v>
      </c>
      <c r="C67">
        <v>0</v>
      </c>
      <c r="G67">
        <v>1</v>
      </c>
      <c r="H67">
        <v>1</v>
      </c>
      <c r="I67">
        <f t="shared" si="4"/>
        <v>164</v>
      </c>
      <c r="J67">
        <f t="shared" si="5"/>
        <v>65</v>
      </c>
      <c r="K67">
        <f t="shared" si="6"/>
        <v>66</v>
      </c>
      <c r="L67">
        <v>10000</v>
      </c>
      <c r="M67">
        <v>0</v>
      </c>
      <c r="N67">
        <f>100/3.6</f>
        <v>27.777777777777779</v>
      </c>
      <c r="P67">
        <f t="shared" si="9"/>
        <v>5.4999999999999716E-2</v>
      </c>
    </row>
    <row r="68" spans="1:16" x14ac:dyDescent="0.35">
      <c r="A68">
        <f t="shared" ref="A68:A96" si="10">A67+1</f>
        <v>67</v>
      </c>
      <c r="B68">
        <v>29.25</v>
      </c>
      <c r="C68">
        <v>0</v>
      </c>
      <c r="D68" t="s">
        <v>21</v>
      </c>
      <c r="I68">
        <f t="shared" si="4"/>
        <v>165</v>
      </c>
      <c r="J68">
        <f t="shared" si="5"/>
        <v>66</v>
      </c>
      <c r="K68">
        <f t="shared" si="6"/>
        <v>67</v>
      </c>
      <c r="L68">
        <v>10000</v>
      </c>
      <c r="M68">
        <v>0</v>
      </c>
      <c r="N68">
        <f t="shared" ref="N68:N96" si="11">100/3.6</f>
        <v>27.777777777777779</v>
      </c>
      <c r="P68">
        <f t="shared" ref="P68:P96" si="12">B68-B67</f>
        <v>0.19500000000000028</v>
      </c>
    </row>
    <row r="69" spans="1:16" x14ac:dyDescent="0.35">
      <c r="A69">
        <f t="shared" si="10"/>
        <v>68</v>
      </c>
      <c r="B69">
        <v>29.372</v>
      </c>
      <c r="C69">
        <v>0</v>
      </c>
      <c r="I69">
        <f t="shared" ref="I69:I84" si="13">I68+1</f>
        <v>166</v>
      </c>
      <c r="J69">
        <f t="shared" ref="J69:J84" si="14">J68+1</f>
        <v>67</v>
      </c>
      <c r="K69">
        <f t="shared" ref="K69:K84" si="15">A69</f>
        <v>68</v>
      </c>
      <c r="L69">
        <v>10000</v>
      </c>
      <c r="M69">
        <v>0</v>
      </c>
      <c r="N69">
        <f t="shared" si="11"/>
        <v>27.777777777777779</v>
      </c>
      <c r="P69">
        <f t="shared" si="12"/>
        <v>0.12199999999999989</v>
      </c>
    </row>
    <row r="70" spans="1:16" x14ac:dyDescent="0.35">
      <c r="A70">
        <f t="shared" si="10"/>
        <v>69</v>
      </c>
      <c r="B70">
        <v>29.47</v>
      </c>
      <c r="C70">
        <v>0</v>
      </c>
      <c r="G70">
        <v>1</v>
      </c>
      <c r="H70">
        <v>-1</v>
      </c>
      <c r="I70">
        <f t="shared" si="13"/>
        <v>167</v>
      </c>
      <c r="J70">
        <f t="shared" si="14"/>
        <v>68</v>
      </c>
      <c r="K70">
        <f t="shared" si="15"/>
        <v>69</v>
      </c>
      <c r="L70">
        <v>10000</v>
      </c>
      <c r="M70">
        <v>0</v>
      </c>
      <c r="N70">
        <f t="shared" si="11"/>
        <v>27.777777777777779</v>
      </c>
      <c r="P70">
        <f t="shared" si="12"/>
        <v>9.7999999999998977E-2</v>
      </c>
    </row>
    <row r="71" spans="1:16" x14ac:dyDescent="0.35">
      <c r="A71">
        <f t="shared" si="10"/>
        <v>70</v>
      </c>
      <c r="B71">
        <v>29.58</v>
      </c>
      <c r="C71">
        <v>0</v>
      </c>
      <c r="I71">
        <f t="shared" si="13"/>
        <v>168</v>
      </c>
      <c r="J71">
        <f t="shared" si="14"/>
        <v>69</v>
      </c>
      <c r="K71">
        <f t="shared" si="15"/>
        <v>70</v>
      </c>
      <c r="L71">
        <v>10000</v>
      </c>
      <c r="M71">
        <v>0</v>
      </c>
      <c r="N71">
        <f t="shared" si="11"/>
        <v>27.777777777777779</v>
      </c>
      <c r="P71">
        <f t="shared" si="12"/>
        <v>0.10999999999999943</v>
      </c>
    </row>
    <row r="72" spans="1:16" x14ac:dyDescent="0.35">
      <c r="A72">
        <f t="shared" si="10"/>
        <v>71</v>
      </c>
      <c r="B72">
        <v>29.6</v>
      </c>
      <c r="C72">
        <v>0</v>
      </c>
      <c r="I72">
        <f t="shared" si="13"/>
        <v>169</v>
      </c>
      <c r="J72">
        <f t="shared" si="14"/>
        <v>70</v>
      </c>
      <c r="K72">
        <f t="shared" si="15"/>
        <v>71</v>
      </c>
      <c r="L72">
        <v>10000</v>
      </c>
      <c r="M72">
        <v>0</v>
      </c>
      <c r="N72">
        <f t="shared" si="11"/>
        <v>27.777777777777779</v>
      </c>
      <c r="P72">
        <f t="shared" si="12"/>
        <v>2.0000000000003126E-2</v>
      </c>
    </row>
    <row r="73" spans="1:16" x14ac:dyDescent="0.35">
      <c r="A73">
        <f t="shared" si="10"/>
        <v>72</v>
      </c>
      <c r="B73">
        <v>29.74</v>
      </c>
      <c r="C73">
        <v>0</v>
      </c>
      <c r="F73">
        <v>1</v>
      </c>
      <c r="I73">
        <f t="shared" si="13"/>
        <v>170</v>
      </c>
      <c r="J73">
        <f t="shared" si="14"/>
        <v>71</v>
      </c>
      <c r="K73">
        <f t="shared" si="15"/>
        <v>72</v>
      </c>
      <c r="L73">
        <v>10000</v>
      </c>
      <c r="M73">
        <v>0</v>
      </c>
      <c r="N73">
        <f t="shared" si="11"/>
        <v>27.777777777777779</v>
      </c>
      <c r="P73">
        <f t="shared" si="12"/>
        <v>0.13999999999999702</v>
      </c>
    </row>
    <row r="74" spans="1:16" x14ac:dyDescent="0.35">
      <c r="A74">
        <f t="shared" si="10"/>
        <v>73</v>
      </c>
      <c r="B74">
        <v>30.05</v>
      </c>
      <c r="C74">
        <v>0</v>
      </c>
      <c r="I74">
        <f t="shared" si="13"/>
        <v>171</v>
      </c>
      <c r="J74">
        <f t="shared" si="14"/>
        <v>72</v>
      </c>
      <c r="K74">
        <f t="shared" si="15"/>
        <v>73</v>
      </c>
      <c r="L74">
        <v>10000</v>
      </c>
      <c r="M74">
        <v>0</v>
      </c>
      <c r="N74">
        <f t="shared" si="11"/>
        <v>27.777777777777779</v>
      </c>
      <c r="P74">
        <f t="shared" si="12"/>
        <v>0.31000000000000227</v>
      </c>
    </row>
    <row r="75" spans="1:16" x14ac:dyDescent="0.35">
      <c r="A75">
        <f t="shared" si="10"/>
        <v>74</v>
      </c>
      <c r="B75">
        <v>30.06</v>
      </c>
      <c r="C75">
        <v>0</v>
      </c>
      <c r="F75">
        <v>1</v>
      </c>
      <c r="I75">
        <f t="shared" si="13"/>
        <v>172</v>
      </c>
      <c r="J75">
        <f t="shared" si="14"/>
        <v>73</v>
      </c>
      <c r="K75">
        <f t="shared" si="15"/>
        <v>74</v>
      </c>
      <c r="L75">
        <v>10000</v>
      </c>
      <c r="M75">
        <v>0</v>
      </c>
      <c r="N75">
        <f t="shared" si="11"/>
        <v>27.777777777777779</v>
      </c>
      <c r="P75">
        <f t="shared" si="12"/>
        <v>9.9999999999980105E-3</v>
      </c>
    </row>
    <row r="76" spans="1:16" x14ac:dyDescent="0.35">
      <c r="A76">
        <f t="shared" si="10"/>
        <v>75</v>
      </c>
      <c r="B76">
        <v>30.2</v>
      </c>
      <c r="C76">
        <v>0</v>
      </c>
      <c r="I76">
        <f t="shared" si="13"/>
        <v>173</v>
      </c>
      <c r="J76">
        <f t="shared" si="14"/>
        <v>74</v>
      </c>
      <c r="K76">
        <f t="shared" si="15"/>
        <v>75</v>
      </c>
      <c r="L76">
        <v>10000</v>
      </c>
      <c r="M76">
        <v>0</v>
      </c>
      <c r="N76">
        <f t="shared" si="11"/>
        <v>27.777777777777779</v>
      </c>
      <c r="P76">
        <f t="shared" si="12"/>
        <v>0.14000000000000057</v>
      </c>
    </row>
    <row r="77" spans="1:16" x14ac:dyDescent="0.35">
      <c r="A77">
        <f t="shared" si="10"/>
        <v>76</v>
      </c>
      <c r="B77">
        <v>30.22</v>
      </c>
      <c r="C77">
        <v>0</v>
      </c>
      <c r="I77">
        <f t="shared" si="13"/>
        <v>174</v>
      </c>
      <c r="J77">
        <f t="shared" si="14"/>
        <v>75</v>
      </c>
      <c r="K77">
        <f t="shared" si="15"/>
        <v>76</v>
      </c>
      <c r="L77">
        <v>10000</v>
      </c>
      <c r="M77">
        <v>0</v>
      </c>
      <c r="N77">
        <f t="shared" si="11"/>
        <v>27.777777777777779</v>
      </c>
      <c r="P77">
        <f t="shared" si="12"/>
        <v>1.9999999999999574E-2</v>
      </c>
    </row>
    <row r="78" spans="1:16" x14ac:dyDescent="0.35">
      <c r="A78">
        <f t="shared" si="10"/>
        <v>77</v>
      </c>
      <c r="B78">
        <v>30.332000000000001</v>
      </c>
      <c r="C78">
        <v>0</v>
      </c>
      <c r="I78">
        <f t="shared" si="13"/>
        <v>175</v>
      </c>
      <c r="J78">
        <f t="shared" si="14"/>
        <v>76</v>
      </c>
      <c r="K78">
        <f t="shared" si="15"/>
        <v>77</v>
      </c>
      <c r="L78">
        <v>10000</v>
      </c>
      <c r="M78">
        <v>0</v>
      </c>
      <c r="N78">
        <f t="shared" si="11"/>
        <v>27.777777777777779</v>
      </c>
      <c r="P78">
        <f t="shared" si="12"/>
        <v>0.11200000000000188</v>
      </c>
    </row>
    <row r="79" spans="1:16" x14ac:dyDescent="0.35">
      <c r="A79">
        <f t="shared" si="10"/>
        <v>78</v>
      </c>
      <c r="B79">
        <v>30.57</v>
      </c>
      <c r="C79">
        <v>0</v>
      </c>
      <c r="G79">
        <v>1</v>
      </c>
      <c r="H79">
        <v>1</v>
      </c>
      <c r="I79">
        <f t="shared" si="13"/>
        <v>176</v>
      </c>
      <c r="J79">
        <f t="shared" si="14"/>
        <v>77</v>
      </c>
      <c r="K79">
        <f t="shared" si="15"/>
        <v>78</v>
      </c>
      <c r="L79">
        <v>10000</v>
      </c>
      <c r="M79">
        <v>0</v>
      </c>
      <c r="N79">
        <f t="shared" si="11"/>
        <v>27.777777777777779</v>
      </c>
      <c r="P79">
        <f t="shared" si="12"/>
        <v>0.23799999999999955</v>
      </c>
    </row>
    <row r="80" spans="1:16" x14ac:dyDescent="0.35">
      <c r="A80">
        <f t="shared" si="10"/>
        <v>79</v>
      </c>
      <c r="B80">
        <v>30.893000000000001</v>
      </c>
      <c r="C80">
        <v>0</v>
      </c>
      <c r="G80">
        <v>1</v>
      </c>
      <c r="H80">
        <v>-1</v>
      </c>
      <c r="I80">
        <f t="shared" si="13"/>
        <v>177</v>
      </c>
      <c r="J80">
        <f t="shared" si="14"/>
        <v>78</v>
      </c>
      <c r="K80">
        <f t="shared" si="15"/>
        <v>79</v>
      </c>
      <c r="L80">
        <v>10000</v>
      </c>
      <c r="M80">
        <v>0</v>
      </c>
      <c r="N80">
        <f t="shared" si="11"/>
        <v>27.777777777777779</v>
      </c>
      <c r="P80">
        <f t="shared" si="12"/>
        <v>0.3230000000000004</v>
      </c>
    </row>
    <row r="81" spans="1:16" x14ac:dyDescent="0.35">
      <c r="A81">
        <f t="shared" si="10"/>
        <v>80</v>
      </c>
      <c r="B81">
        <v>31.472000000000001</v>
      </c>
      <c r="C81">
        <v>0</v>
      </c>
      <c r="G81">
        <v>1</v>
      </c>
      <c r="H81">
        <v>1</v>
      </c>
      <c r="I81">
        <f t="shared" si="13"/>
        <v>178</v>
      </c>
      <c r="J81">
        <f t="shared" si="14"/>
        <v>79</v>
      </c>
      <c r="K81">
        <f t="shared" si="15"/>
        <v>80</v>
      </c>
      <c r="L81">
        <v>10000</v>
      </c>
      <c r="M81">
        <v>0</v>
      </c>
      <c r="N81">
        <f t="shared" si="11"/>
        <v>27.777777777777779</v>
      </c>
      <c r="P81">
        <f t="shared" si="12"/>
        <v>0.57900000000000063</v>
      </c>
    </row>
    <row r="82" spans="1:16" x14ac:dyDescent="0.35">
      <c r="A82">
        <f t="shared" si="10"/>
        <v>81</v>
      </c>
      <c r="B82">
        <v>31.8</v>
      </c>
      <c r="C82">
        <v>0</v>
      </c>
      <c r="I82">
        <f t="shared" si="13"/>
        <v>179</v>
      </c>
      <c r="J82">
        <f t="shared" si="14"/>
        <v>80</v>
      </c>
      <c r="K82">
        <f t="shared" si="15"/>
        <v>81</v>
      </c>
      <c r="L82">
        <v>10000</v>
      </c>
      <c r="M82">
        <v>0</v>
      </c>
      <c r="N82">
        <f t="shared" si="11"/>
        <v>27.777777777777779</v>
      </c>
      <c r="P82">
        <f t="shared" si="12"/>
        <v>0.3279999999999994</v>
      </c>
    </row>
    <row r="83" spans="1:16" x14ac:dyDescent="0.35">
      <c r="A83">
        <f t="shared" si="10"/>
        <v>82</v>
      </c>
      <c r="B83">
        <v>32.130000000000003</v>
      </c>
      <c r="C83">
        <v>0</v>
      </c>
      <c r="I83">
        <f t="shared" si="13"/>
        <v>180</v>
      </c>
      <c r="J83">
        <f t="shared" si="14"/>
        <v>81</v>
      </c>
      <c r="K83">
        <f t="shared" si="15"/>
        <v>82</v>
      </c>
      <c r="L83">
        <v>10000</v>
      </c>
      <c r="M83">
        <v>0</v>
      </c>
      <c r="N83">
        <f t="shared" si="11"/>
        <v>27.777777777777779</v>
      </c>
      <c r="P83">
        <f t="shared" si="12"/>
        <v>0.33000000000000185</v>
      </c>
    </row>
    <row r="84" spans="1:16" x14ac:dyDescent="0.35">
      <c r="A84">
        <f t="shared" si="10"/>
        <v>83</v>
      </c>
      <c r="B84">
        <v>32.418999999999997</v>
      </c>
      <c r="C84">
        <v>0</v>
      </c>
      <c r="G84">
        <v>1</v>
      </c>
      <c r="H84">
        <v>-1</v>
      </c>
      <c r="I84">
        <f t="shared" si="13"/>
        <v>181</v>
      </c>
      <c r="J84">
        <f t="shared" si="14"/>
        <v>82</v>
      </c>
      <c r="K84">
        <f t="shared" si="15"/>
        <v>83</v>
      </c>
      <c r="L84">
        <v>10000</v>
      </c>
      <c r="M84">
        <v>0</v>
      </c>
      <c r="N84">
        <f t="shared" si="11"/>
        <v>27.777777777777779</v>
      </c>
      <c r="P84">
        <f t="shared" si="12"/>
        <v>0.28899999999999437</v>
      </c>
    </row>
    <row r="85" spans="1:16" x14ac:dyDescent="0.35">
      <c r="A85">
        <f t="shared" si="10"/>
        <v>84</v>
      </c>
      <c r="B85">
        <v>32.713999999999999</v>
      </c>
      <c r="C85">
        <v>0</v>
      </c>
      <c r="I85">
        <f t="shared" ref="I85:I96" si="16">I84+1</f>
        <v>182</v>
      </c>
      <c r="J85">
        <f t="shared" ref="J85:J96" si="17">J84+1</f>
        <v>83</v>
      </c>
      <c r="K85">
        <f t="shared" ref="K85:K96" si="18">A85</f>
        <v>84</v>
      </c>
      <c r="L85">
        <v>10000</v>
      </c>
      <c r="M85">
        <v>0</v>
      </c>
      <c r="N85">
        <f t="shared" si="11"/>
        <v>27.777777777777779</v>
      </c>
      <c r="P85">
        <f t="shared" si="12"/>
        <v>0.29500000000000171</v>
      </c>
    </row>
    <row r="86" spans="1:16" x14ac:dyDescent="0.35">
      <c r="A86">
        <f t="shared" si="10"/>
        <v>85</v>
      </c>
      <c r="B86">
        <v>32.764000000000003</v>
      </c>
      <c r="C86">
        <v>0</v>
      </c>
      <c r="F86">
        <v>1</v>
      </c>
      <c r="I86">
        <f t="shared" si="16"/>
        <v>183</v>
      </c>
      <c r="J86">
        <f t="shared" si="17"/>
        <v>84</v>
      </c>
      <c r="K86">
        <f t="shared" si="18"/>
        <v>85</v>
      </c>
      <c r="L86">
        <v>10000</v>
      </c>
      <c r="M86">
        <v>0</v>
      </c>
      <c r="N86">
        <f t="shared" si="11"/>
        <v>27.777777777777779</v>
      </c>
      <c r="P86">
        <f t="shared" si="12"/>
        <v>5.0000000000004263E-2</v>
      </c>
    </row>
    <row r="87" spans="1:16" x14ac:dyDescent="0.35">
      <c r="A87">
        <f t="shared" si="10"/>
        <v>86</v>
      </c>
      <c r="B87">
        <v>32.816000000000003</v>
      </c>
      <c r="C87">
        <v>0</v>
      </c>
      <c r="G87">
        <v>1</v>
      </c>
      <c r="H87">
        <v>1</v>
      </c>
      <c r="I87">
        <f t="shared" si="16"/>
        <v>184</v>
      </c>
      <c r="J87">
        <f t="shared" si="17"/>
        <v>85</v>
      </c>
      <c r="K87">
        <f t="shared" si="18"/>
        <v>86</v>
      </c>
      <c r="L87">
        <v>10000</v>
      </c>
      <c r="M87">
        <v>0</v>
      </c>
      <c r="N87">
        <f t="shared" si="11"/>
        <v>27.777777777777779</v>
      </c>
      <c r="P87">
        <f t="shared" si="12"/>
        <v>5.1999999999999602E-2</v>
      </c>
    </row>
    <row r="88" spans="1:16" x14ac:dyDescent="0.35">
      <c r="A88">
        <f t="shared" si="10"/>
        <v>87</v>
      </c>
      <c r="B88">
        <v>32.932000000000002</v>
      </c>
      <c r="C88">
        <v>0</v>
      </c>
      <c r="D88" t="s">
        <v>22</v>
      </c>
      <c r="I88">
        <f t="shared" si="16"/>
        <v>185</v>
      </c>
      <c r="J88">
        <f t="shared" si="17"/>
        <v>86</v>
      </c>
      <c r="K88">
        <f t="shared" si="18"/>
        <v>87</v>
      </c>
      <c r="L88">
        <v>10000</v>
      </c>
      <c r="M88">
        <v>0</v>
      </c>
      <c r="N88">
        <f t="shared" si="11"/>
        <v>27.777777777777779</v>
      </c>
      <c r="P88">
        <f t="shared" si="12"/>
        <v>0.11599999999999966</v>
      </c>
    </row>
    <row r="89" spans="1:16" x14ac:dyDescent="0.35">
      <c r="A89">
        <f t="shared" si="10"/>
        <v>88</v>
      </c>
      <c r="B89">
        <v>33.047000000000004</v>
      </c>
      <c r="C89">
        <v>0</v>
      </c>
      <c r="G89">
        <v>1</v>
      </c>
      <c r="H89">
        <v>-1</v>
      </c>
      <c r="I89">
        <f t="shared" si="16"/>
        <v>186</v>
      </c>
      <c r="J89">
        <f t="shared" si="17"/>
        <v>87</v>
      </c>
      <c r="K89">
        <f t="shared" si="18"/>
        <v>88</v>
      </c>
      <c r="L89">
        <v>10000</v>
      </c>
      <c r="M89">
        <v>0</v>
      </c>
      <c r="N89">
        <f t="shared" si="11"/>
        <v>27.777777777777779</v>
      </c>
      <c r="P89">
        <f t="shared" si="12"/>
        <v>0.11500000000000199</v>
      </c>
    </row>
    <row r="90" spans="1:16" x14ac:dyDescent="0.35">
      <c r="A90">
        <f t="shared" si="10"/>
        <v>89</v>
      </c>
      <c r="B90">
        <v>33.606000000000002</v>
      </c>
      <c r="C90">
        <v>0</v>
      </c>
      <c r="G90">
        <v>1</v>
      </c>
      <c r="H90">
        <v>1</v>
      </c>
      <c r="I90">
        <f t="shared" si="16"/>
        <v>187</v>
      </c>
      <c r="J90">
        <f t="shared" si="17"/>
        <v>88</v>
      </c>
      <c r="K90">
        <f t="shared" si="18"/>
        <v>89</v>
      </c>
      <c r="L90">
        <v>10000</v>
      </c>
      <c r="M90">
        <v>0</v>
      </c>
      <c r="N90">
        <f t="shared" si="11"/>
        <v>27.777777777777779</v>
      </c>
      <c r="P90">
        <f t="shared" si="12"/>
        <v>0.5589999999999975</v>
      </c>
    </row>
    <row r="91" spans="1:16" x14ac:dyDescent="0.35">
      <c r="A91">
        <f t="shared" si="10"/>
        <v>90</v>
      </c>
      <c r="B91" s="1">
        <v>33.676000000000002</v>
      </c>
      <c r="C91">
        <v>0</v>
      </c>
      <c r="F91">
        <v>1</v>
      </c>
      <c r="I91">
        <f t="shared" si="16"/>
        <v>188</v>
      </c>
      <c r="J91">
        <f t="shared" si="17"/>
        <v>89</v>
      </c>
      <c r="K91">
        <f t="shared" si="18"/>
        <v>90</v>
      </c>
      <c r="L91">
        <v>10000</v>
      </c>
      <c r="M91">
        <v>0</v>
      </c>
      <c r="N91">
        <f t="shared" si="11"/>
        <v>27.777777777777779</v>
      </c>
      <c r="P91">
        <f t="shared" si="12"/>
        <v>7.0000000000000284E-2</v>
      </c>
    </row>
    <row r="92" spans="1:16" x14ac:dyDescent="0.35">
      <c r="A92">
        <f t="shared" si="10"/>
        <v>91</v>
      </c>
      <c r="B92" s="1">
        <v>33.746000000000002</v>
      </c>
      <c r="C92">
        <v>0</v>
      </c>
      <c r="I92">
        <f t="shared" si="16"/>
        <v>189</v>
      </c>
      <c r="J92">
        <f t="shared" si="17"/>
        <v>90</v>
      </c>
      <c r="K92">
        <f t="shared" si="18"/>
        <v>91</v>
      </c>
      <c r="L92">
        <v>10000</v>
      </c>
      <c r="M92">
        <v>0</v>
      </c>
      <c r="N92">
        <f t="shared" si="11"/>
        <v>27.777777777777779</v>
      </c>
      <c r="P92">
        <f t="shared" si="12"/>
        <v>7.0000000000000284E-2</v>
      </c>
    </row>
    <row r="93" spans="1:16" x14ac:dyDescent="0.35">
      <c r="A93">
        <f t="shared" si="10"/>
        <v>92</v>
      </c>
      <c r="B93" s="1">
        <v>33.76</v>
      </c>
      <c r="C93">
        <v>0</v>
      </c>
      <c r="G93">
        <v>1</v>
      </c>
      <c r="H93">
        <v>0</v>
      </c>
      <c r="I93">
        <f t="shared" si="16"/>
        <v>190</v>
      </c>
      <c r="J93">
        <f t="shared" si="17"/>
        <v>91</v>
      </c>
      <c r="K93">
        <f t="shared" si="18"/>
        <v>92</v>
      </c>
      <c r="L93">
        <v>10000</v>
      </c>
      <c r="M93">
        <v>0</v>
      </c>
      <c r="N93">
        <f t="shared" si="11"/>
        <v>27.777777777777779</v>
      </c>
      <c r="P93">
        <f t="shared" si="12"/>
        <v>1.3999999999995794E-2</v>
      </c>
    </row>
    <row r="94" spans="1:16" x14ac:dyDescent="0.35">
      <c r="A94">
        <f t="shared" si="10"/>
        <v>93</v>
      </c>
      <c r="B94" s="1">
        <v>33.79</v>
      </c>
      <c r="C94">
        <v>0</v>
      </c>
      <c r="I94">
        <f t="shared" si="16"/>
        <v>191</v>
      </c>
      <c r="J94">
        <f t="shared" si="17"/>
        <v>92</v>
      </c>
      <c r="K94">
        <f t="shared" si="18"/>
        <v>93</v>
      </c>
      <c r="L94">
        <v>10000</v>
      </c>
      <c r="M94">
        <v>0</v>
      </c>
      <c r="N94">
        <f t="shared" si="11"/>
        <v>27.777777777777779</v>
      </c>
      <c r="P94">
        <f t="shared" si="12"/>
        <v>3.0000000000001137E-2</v>
      </c>
    </row>
    <row r="95" spans="1:16" x14ac:dyDescent="0.35">
      <c r="A95">
        <f t="shared" si="10"/>
        <v>94</v>
      </c>
      <c r="B95" s="1">
        <v>33.814999999999998</v>
      </c>
      <c r="C95">
        <v>0</v>
      </c>
      <c r="F95">
        <v>1</v>
      </c>
      <c r="I95">
        <f t="shared" si="16"/>
        <v>192</v>
      </c>
      <c r="J95">
        <f t="shared" si="17"/>
        <v>93</v>
      </c>
      <c r="K95">
        <f t="shared" si="18"/>
        <v>94</v>
      </c>
      <c r="L95">
        <v>10000</v>
      </c>
      <c r="M95">
        <v>0</v>
      </c>
      <c r="N95">
        <f t="shared" si="11"/>
        <v>27.777777777777779</v>
      </c>
      <c r="P95">
        <f t="shared" si="12"/>
        <v>2.4999999999998579E-2</v>
      </c>
    </row>
    <row r="96" spans="1:16" x14ac:dyDescent="0.35">
      <c r="A96">
        <f t="shared" si="10"/>
        <v>95</v>
      </c>
      <c r="B96">
        <v>33.885000000000005</v>
      </c>
      <c r="C96">
        <v>0</v>
      </c>
      <c r="G96">
        <v>1</v>
      </c>
      <c r="H96">
        <v>0</v>
      </c>
      <c r="I96">
        <f t="shared" si="16"/>
        <v>193</v>
      </c>
      <c r="J96">
        <f t="shared" si="17"/>
        <v>94</v>
      </c>
      <c r="K96">
        <f t="shared" si="18"/>
        <v>95</v>
      </c>
      <c r="L96">
        <v>10000</v>
      </c>
      <c r="M96">
        <v>0</v>
      </c>
      <c r="N96">
        <f t="shared" si="11"/>
        <v>27.777777777777779</v>
      </c>
      <c r="P96">
        <f t="shared" si="12"/>
        <v>7.000000000000739E-2</v>
      </c>
    </row>
  </sheetData>
  <autoFilter ref="A1:N9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FB71-D916-4545-B27D-E03C235C7389}">
  <dimension ref="A1:Q101"/>
  <sheetViews>
    <sheetView zoomScale="55" zoomScaleNormal="55" workbookViewId="0">
      <selection activeCell="B19" sqref="B19"/>
    </sheetView>
  </sheetViews>
  <sheetFormatPr defaultRowHeight="14.5" x14ac:dyDescent="0.35"/>
  <cols>
    <col min="5" max="5" width="14.90625" bestFit="1" customWidth="1"/>
    <col min="8" max="8" width="13.54296875" bestFit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24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Q1" t="s">
        <v>12</v>
      </c>
    </row>
    <row r="2" spans="1:17" x14ac:dyDescent="0.35">
      <c r="A2">
        <v>1</v>
      </c>
      <c r="B2">
        <v>9.6359999999999992</v>
      </c>
      <c r="C2">
        <v>0</v>
      </c>
      <c r="G2">
        <v>1</v>
      </c>
      <c r="H2">
        <v>0</v>
      </c>
    </row>
    <row r="3" spans="1:17" x14ac:dyDescent="0.35">
      <c r="A3">
        <f>A2+1</f>
        <v>2</v>
      </c>
      <c r="B3">
        <v>9.9</v>
      </c>
      <c r="C3">
        <v>0</v>
      </c>
      <c r="D3" t="s">
        <v>11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160/3.6</f>
        <v>44.444444444444443</v>
      </c>
      <c r="Q3">
        <f>B3-B2</f>
        <v>0.26400000000000112</v>
      </c>
    </row>
    <row r="4" spans="1:17" x14ac:dyDescent="0.35">
      <c r="A4">
        <f t="shared" ref="A4:A70" si="0">A3+1</f>
        <v>3</v>
      </c>
      <c r="B4">
        <v>10.156000000000001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 t="shared" ref="K4" si="1">A4</f>
        <v>3</v>
      </c>
      <c r="L4">
        <v>10000</v>
      </c>
      <c r="M4">
        <v>0</v>
      </c>
      <c r="N4">
        <f t="shared" ref="N4:N24" si="2">160/3.6</f>
        <v>44.444444444444443</v>
      </c>
      <c r="Q4">
        <f t="shared" ref="Q4:Q67" si="3">B4-B3</f>
        <v>0.25600000000000023</v>
      </c>
    </row>
    <row r="5" spans="1:17" x14ac:dyDescent="0.35">
      <c r="A5">
        <f t="shared" si="0"/>
        <v>4</v>
      </c>
      <c r="B5">
        <v>10.694000000000001</v>
      </c>
      <c r="C5">
        <v>0</v>
      </c>
      <c r="I5">
        <f t="shared" ref="I5:I30" si="4">I4+1</f>
        <v>102</v>
      </c>
      <c r="J5">
        <f t="shared" ref="J5:J68" si="5">J4+1</f>
        <v>3</v>
      </c>
      <c r="K5">
        <f t="shared" ref="K5:K68" si="6">A5</f>
        <v>4</v>
      </c>
      <c r="L5">
        <v>10000</v>
      </c>
      <c r="M5">
        <v>0</v>
      </c>
      <c r="N5">
        <f t="shared" si="2"/>
        <v>44.444444444444443</v>
      </c>
      <c r="Q5">
        <f t="shared" si="3"/>
        <v>0.53800000000000026</v>
      </c>
    </row>
    <row r="6" spans="1:17" x14ac:dyDescent="0.35">
      <c r="A6">
        <f t="shared" si="0"/>
        <v>5</v>
      </c>
      <c r="B6">
        <v>10.987</v>
      </c>
      <c r="C6">
        <v>0</v>
      </c>
      <c r="G6">
        <v>1</v>
      </c>
      <c r="H6">
        <v>1</v>
      </c>
      <c r="I6">
        <f t="shared" si="4"/>
        <v>103</v>
      </c>
      <c r="J6">
        <f t="shared" si="5"/>
        <v>4</v>
      </c>
      <c r="K6">
        <f t="shared" si="6"/>
        <v>5</v>
      </c>
      <c r="L6">
        <v>10000</v>
      </c>
      <c r="M6">
        <v>0</v>
      </c>
      <c r="N6">
        <f t="shared" si="2"/>
        <v>44.444444444444443</v>
      </c>
      <c r="Q6">
        <f t="shared" si="3"/>
        <v>0.29299999999999926</v>
      </c>
    </row>
    <row r="7" spans="1:17" x14ac:dyDescent="0.35">
      <c r="A7">
        <f t="shared" si="0"/>
        <v>6</v>
      </c>
      <c r="B7">
        <v>11.34</v>
      </c>
      <c r="C7">
        <v>0</v>
      </c>
      <c r="I7">
        <f t="shared" si="4"/>
        <v>104</v>
      </c>
      <c r="J7">
        <f t="shared" si="5"/>
        <v>5</v>
      </c>
      <c r="K7">
        <f t="shared" si="6"/>
        <v>6</v>
      </c>
      <c r="L7">
        <v>10000</v>
      </c>
      <c r="M7">
        <v>0</v>
      </c>
      <c r="N7">
        <f t="shared" si="2"/>
        <v>44.444444444444443</v>
      </c>
      <c r="Q7">
        <f t="shared" si="3"/>
        <v>0.35299999999999976</v>
      </c>
    </row>
    <row r="8" spans="1:17" x14ac:dyDescent="0.35">
      <c r="A8">
        <f t="shared" si="0"/>
        <v>7</v>
      </c>
      <c r="B8">
        <v>11.42</v>
      </c>
      <c r="C8">
        <v>0</v>
      </c>
      <c r="F8">
        <v>1</v>
      </c>
      <c r="I8">
        <f t="shared" si="4"/>
        <v>105</v>
      </c>
      <c r="J8">
        <f t="shared" si="5"/>
        <v>6</v>
      </c>
      <c r="K8">
        <f t="shared" si="6"/>
        <v>7</v>
      </c>
      <c r="L8">
        <v>10000</v>
      </c>
      <c r="M8">
        <v>0</v>
      </c>
      <c r="N8">
        <f t="shared" si="2"/>
        <v>44.444444444444443</v>
      </c>
      <c r="Q8">
        <f t="shared" si="3"/>
        <v>8.0000000000000071E-2</v>
      </c>
    </row>
    <row r="9" spans="1:17" x14ac:dyDescent="0.35">
      <c r="A9">
        <f t="shared" si="0"/>
        <v>8</v>
      </c>
      <c r="B9">
        <v>11.5</v>
      </c>
      <c r="C9">
        <v>0</v>
      </c>
      <c r="F9">
        <v>1</v>
      </c>
      <c r="I9">
        <f t="shared" si="4"/>
        <v>106</v>
      </c>
      <c r="J9">
        <f t="shared" si="5"/>
        <v>7</v>
      </c>
      <c r="K9">
        <f t="shared" si="6"/>
        <v>8</v>
      </c>
      <c r="L9">
        <v>10000</v>
      </c>
      <c r="M9">
        <v>0</v>
      </c>
      <c r="N9">
        <f t="shared" si="2"/>
        <v>44.444444444444443</v>
      </c>
      <c r="Q9">
        <f t="shared" si="3"/>
        <v>8.0000000000000071E-2</v>
      </c>
    </row>
    <row r="10" spans="1:17" x14ac:dyDescent="0.35">
      <c r="A10">
        <f t="shared" si="0"/>
        <v>9</v>
      </c>
      <c r="B10">
        <v>11.59</v>
      </c>
      <c r="C10">
        <v>0</v>
      </c>
      <c r="I10">
        <f t="shared" si="4"/>
        <v>107</v>
      </c>
      <c r="J10">
        <f t="shared" si="5"/>
        <v>8</v>
      </c>
      <c r="K10">
        <f t="shared" si="6"/>
        <v>9</v>
      </c>
      <c r="L10">
        <v>10000</v>
      </c>
      <c r="M10">
        <v>0</v>
      </c>
      <c r="N10">
        <f t="shared" si="2"/>
        <v>44.444444444444443</v>
      </c>
      <c r="Q10">
        <f t="shared" si="3"/>
        <v>8.9999999999999858E-2</v>
      </c>
    </row>
    <row r="11" spans="1:17" x14ac:dyDescent="0.35">
      <c r="A11">
        <f t="shared" si="0"/>
        <v>10</v>
      </c>
      <c r="B11">
        <v>11.676</v>
      </c>
      <c r="C11">
        <v>0</v>
      </c>
      <c r="G11">
        <v>1</v>
      </c>
      <c r="H11">
        <v>-1</v>
      </c>
      <c r="I11">
        <f t="shared" si="4"/>
        <v>108</v>
      </c>
      <c r="J11">
        <f t="shared" si="5"/>
        <v>9</v>
      </c>
      <c r="K11">
        <f t="shared" si="6"/>
        <v>10</v>
      </c>
      <c r="L11">
        <v>10000</v>
      </c>
      <c r="M11">
        <v>0</v>
      </c>
      <c r="N11">
        <f t="shared" si="2"/>
        <v>44.444444444444443</v>
      </c>
      <c r="Q11">
        <f t="shared" si="3"/>
        <v>8.6000000000000298E-2</v>
      </c>
    </row>
    <row r="12" spans="1:17" x14ac:dyDescent="0.35">
      <c r="A12">
        <f t="shared" si="0"/>
        <v>11</v>
      </c>
      <c r="B12">
        <v>11.846</v>
      </c>
      <c r="C12">
        <v>0</v>
      </c>
      <c r="I12">
        <f t="shared" si="4"/>
        <v>109</v>
      </c>
      <c r="J12">
        <f t="shared" si="5"/>
        <v>10</v>
      </c>
      <c r="K12">
        <f t="shared" si="6"/>
        <v>11</v>
      </c>
      <c r="L12">
        <v>10000</v>
      </c>
      <c r="M12">
        <v>0</v>
      </c>
      <c r="N12">
        <f t="shared" si="2"/>
        <v>44.444444444444443</v>
      </c>
      <c r="Q12">
        <f t="shared" si="3"/>
        <v>0.16999999999999993</v>
      </c>
    </row>
    <row r="13" spans="1:17" x14ac:dyDescent="0.35">
      <c r="A13">
        <f t="shared" si="0"/>
        <v>12</v>
      </c>
      <c r="B13">
        <v>11.898</v>
      </c>
      <c r="C13">
        <v>0</v>
      </c>
      <c r="I13">
        <f t="shared" si="4"/>
        <v>110</v>
      </c>
      <c r="J13">
        <f t="shared" si="5"/>
        <v>11</v>
      </c>
      <c r="K13">
        <f t="shared" si="6"/>
        <v>12</v>
      </c>
      <c r="L13">
        <v>10000</v>
      </c>
      <c r="M13">
        <v>0</v>
      </c>
      <c r="N13">
        <f t="shared" si="2"/>
        <v>44.444444444444443</v>
      </c>
      <c r="Q13">
        <f t="shared" si="3"/>
        <v>5.1999999999999602E-2</v>
      </c>
    </row>
    <row r="14" spans="1:17" x14ac:dyDescent="0.35">
      <c r="A14">
        <f t="shared" si="0"/>
        <v>13</v>
      </c>
      <c r="B14">
        <v>12.151999999999999</v>
      </c>
      <c r="C14">
        <v>0</v>
      </c>
      <c r="I14">
        <f t="shared" si="4"/>
        <v>111</v>
      </c>
      <c r="J14">
        <f t="shared" si="5"/>
        <v>12</v>
      </c>
      <c r="K14">
        <f t="shared" si="6"/>
        <v>13</v>
      </c>
      <c r="L14">
        <v>10000</v>
      </c>
      <c r="M14">
        <v>0</v>
      </c>
      <c r="N14">
        <f t="shared" si="2"/>
        <v>44.444444444444443</v>
      </c>
      <c r="Q14">
        <f t="shared" si="3"/>
        <v>0.25399999999999956</v>
      </c>
    </row>
    <row r="15" spans="1:17" x14ac:dyDescent="0.35">
      <c r="A15">
        <f t="shared" si="0"/>
        <v>14</v>
      </c>
      <c r="B15">
        <v>12.31</v>
      </c>
      <c r="C15">
        <v>0</v>
      </c>
      <c r="D15" t="s">
        <v>14</v>
      </c>
      <c r="I15">
        <f t="shared" si="4"/>
        <v>112</v>
      </c>
      <c r="J15">
        <f t="shared" si="5"/>
        <v>13</v>
      </c>
      <c r="K15">
        <f t="shared" si="6"/>
        <v>14</v>
      </c>
      <c r="L15">
        <v>10000</v>
      </c>
      <c r="M15">
        <v>0</v>
      </c>
      <c r="N15">
        <f t="shared" si="2"/>
        <v>44.444444444444443</v>
      </c>
      <c r="Q15">
        <f t="shared" si="3"/>
        <v>0.15800000000000125</v>
      </c>
    </row>
    <row r="16" spans="1:17" x14ac:dyDescent="0.35">
      <c r="A16">
        <f t="shared" si="0"/>
        <v>15</v>
      </c>
      <c r="B16">
        <v>12.542999999999999</v>
      </c>
      <c r="C16">
        <v>0</v>
      </c>
      <c r="G16">
        <v>1</v>
      </c>
      <c r="H16">
        <v>1</v>
      </c>
      <c r="I16">
        <f t="shared" si="4"/>
        <v>113</v>
      </c>
      <c r="J16">
        <f t="shared" si="5"/>
        <v>14</v>
      </c>
      <c r="K16">
        <f t="shared" si="6"/>
        <v>15</v>
      </c>
      <c r="L16">
        <v>10000</v>
      </c>
      <c r="M16">
        <v>0</v>
      </c>
      <c r="N16">
        <f t="shared" si="2"/>
        <v>44.444444444444443</v>
      </c>
      <c r="Q16">
        <f t="shared" si="3"/>
        <v>0.23299999999999876</v>
      </c>
    </row>
    <row r="17" spans="1:17" x14ac:dyDescent="0.35">
      <c r="A17">
        <f t="shared" si="0"/>
        <v>16</v>
      </c>
      <c r="B17">
        <v>12.749000000000001</v>
      </c>
      <c r="C17">
        <v>0</v>
      </c>
      <c r="I17">
        <f t="shared" si="4"/>
        <v>114</v>
      </c>
      <c r="J17">
        <f t="shared" si="5"/>
        <v>15</v>
      </c>
      <c r="K17">
        <f t="shared" si="6"/>
        <v>16</v>
      </c>
      <c r="L17">
        <v>10000</v>
      </c>
      <c r="M17">
        <v>0</v>
      </c>
      <c r="N17">
        <f t="shared" si="2"/>
        <v>44.444444444444443</v>
      </c>
      <c r="Q17">
        <f t="shared" si="3"/>
        <v>0.20600000000000129</v>
      </c>
    </row>
    <row r="18" spans="1:17" x14ac:dyDescent="0.35">
      <c r="A18">
        <f t="shared" si="0"/>
        <v>17</v>
      </c>
      <c r="B18">
        <v>12.92</v>
      </c>
      <c r="C18">
        <v>0</v>
      </c>
      <c r="I18">
        <f t="shared" si="4"/>
        <v>115</v>
      </c>
      <c r="J18">
        <f t="shared" si="5"/>
        <v>16</v>
      </c>
      <c r="K18">
        <f t="shared" si="6"/>
        <v>17</v>
      </c>
      <c r="L18">
        <v>10000</v>
      </c>
      <c r="M18">
        <v>0</v>
      </c>
      <c r="N18">
        <f t="shared" si="2"/>
        <v>44.444444444444443</v>
      </c>
      <c r="Q18">
        <f t="shared" si="3"/>
        <v>0.17099999999999937</v>
      </c>
    </row>
    <row r="19" spans="1:17" x14ac:dyDescent="0.35">
      <c r="A19">
        <f t="shared" si="0"/>
        <v>18</v>
      </c>
      <c r="B19">
        <v>12.98</v>
      </c>
      <c r="C19">
        <v>0</v>
      </c>
      <c r="F19">
        <v>1</v>
      </c>
      <c r="I19">
        <f t="shared" si="4"/>
        <v>116</v>
      </c>
      <c r="J19">
        <f t="shared" si="5"/>
        <v>17</v>
      </c>
      <c r="K19">
        <f t="shared" si="6"/>
        <v>18</v>
      </c>
      <c r="L19">
        <v>10000</v>
      </c>
      <c r="M19">
        <v>0</v>
      </c>
      <c r="N19">
        <f t="shared" si="2"/>
        <v>44.444444444444443</v>
      </c>
      <c r="Q19">
        <f t="shared" si="3"/>
        <v>6.0000000000000497E-2</v>
      </c>
    </row>
    <row r="20" spans="1:17" x14ac:dyDescent="0.35">
      <c r="A20">
        <f t="shared" si="0"/>
        <v>19</v>
      </c>
      <c r="B20">
        <v>13.06</v>
      </c>
      <c r="C20">
        <v>0</v>
      </c>
      <c r="I20">
        <f t="shared" si="4"/>
        <v>117</v>
      </c>
      <c r="J20">
        <f t="shared" si="5"/>
        <v>18</v>
      </c>
      <c r="K20">
        <f t="shared" si="6"/>
        <v>19</v>
      </c>
      <c r="L20">
        <v>10000</v>
      </c>
      <c r="M20">
        <v>0</v>
      </c>
      <c r="N20">
        <f t="shared" si="2"/>
        <v>44.444444444444443</v>
      </c>
      <c r="Q20">
        <f t="shared" si="3"/>
        <v>8.0000000000000071E-2</v>
      </c>
    </row>
    <row r="21" spans="1:17" x14ac:dyDescent="0.35">
      <c r="A21">
        <f t="shared" si="0"/>
        <v>20</v>
      </c>
      <c r="B21">
        <v>13.14</v>
      </c>
      <c r="C21">
        <v>0</v>
      </c>
      <c r="I21">
        <f t="shared" si="4"/>
        <v>118</v>
      </c>
      <c r="J21">
        <f t="shared" si="5"/>
        <v>19</v>
      </c>
      <c r="K21">
        <f t="shared" si="6"/>
        <v>20</v>
      </c>
      <c r="L21">
        <v>10000</v>
      </c>
      <c r="M21">
        <v>0</v>
      </c>
      <c r="N21">
        <f t="shared" si="2"/>
        <v>44.444444444444443</v>
      </c>
      <c r="Q21">
        <f t="shared" si="3"/>
        <v>8.0000000000000071E-2</v>
      </c>
    </row>
    <row r="22" spans="1:17" x14ac:dyDescent="0.35">
      <c r="A22">
        <f t="shared" si="0"/>
        <v>21</v>
      </c>
      <c r="B22">
        <v>13.22</v>
      </c>
      <c r="C22">
        <v>0</v>
      </c>
      <c r="I22">
        <f t="shared" si="4"/>
        <v>119</v>
      </c>
      <c r="J22">
        <f t="shared" si="5"/>
        <v>20</v>
      </c>
      <c r="K22">
        <f t="shared" si="6"/>
        <v>21</v>
      </c>
      <c r="L22">
        <v>10000</v>
      </c>
      <c r="M22">
        <v>0</v>
      </c>
      <c r="N22">
        <f t="shared" si="2"/>
        <v>44.444444444444443</v>
      </c>
      <c r="Q22">
        <f t="shared" si="3"/>
        <v>8.0000000000000071E-2</v>
      </c>
    </row>
    <row r="23" spans="1:17" x14ac:dyDescent="0.35">
      <c r="A23">
        <f t="shared" si="0"/>
        <v>22</v>
      </c>
      <c r="B23">
        <v>13.67</v>
      </c>
      <c r="C23">
        <v>0</v>
      </c>
      <c r="G23">
        <v>1</v>
      </c>
      <c r="H23">
        <v>-1</v>
      </c>
      <c r="I23">
        <f t="shared" si="4"/>
        <v>120</v>
      </c>
      <c r="J23">
        <f t="shared" si="5"/>
        <v>21</v>
      </c>
      <c r="K23">
        <f t="shared" si="6"/>
        <v>22</v>
      </c>
      <c r="L23">
        <v>10000</v>
      </c>
      <c r="M23">
        <v>0</v>
      </c>
      <c r="N23">
        <f t="shared" si="2"/>
        <v>44.444444444444443</v>
      </c>
      <c r="Q23">
        <f t="shared" si="3"/>
        <v>0.44999999999999929</v>
      </c>
    </row>
    <row r="24" spans="1:17" x14ac:dyDescent="0.35">
      <c r="A24">
        <f t="shared" si="0"/>
        <v>23</v>
      </c>
      <c r="B24">
        <v>14.081</v>
      </c>
      <c r="C24">
        <v>0</v>
      </c>
      <c r="G24">
        <v>1</v>
      </c>
      <c r="H24">
        <v>1</v>
      </c>
      <c r="I24">
        <f t="shared" si="4"/>
        <v>121</v>
      </c>
      <c r="J24">
        <f t="shared" si="5"/>
        <v>22</v>
      </c>
      <c r="K24">
        <f t="shared" si="6"/>
        <v>23</v>
      </c>
      <c r="L24">
        <v>10000</v>
      </c>
      <c r="M24">
        <v>0</v>
      </c>
      <c r="N24">
        <f t="shared" si="2"/>
        <v>44.444444444444443</v>
      </c>
      <c r="Q24">
        <f t="shared" si="3"/>
        <v>0.41099999999999959</v>
      </c>
    </row>
    <row r="25" spans="1:17" x14ac:dyDescent="0.35">
      <c r="A25">
        <f t="shared" si="0"/>
        <v>24</v>
      </c>
      <c r="B25">
        <v>15.035</v>
      </c>
      <c r="C25">
        <v>0</v>
      </c>
      <c r="G25">
        <v>1</v>
      </c>
      <c r="H25">
        <v>-1</v>
      </c>
      <c r="I25">
        <f t="shared" si="4"/>
        <v>122</v>
      </c>
      <c r="J25">
        <f t="shared" si="5"/>
        <v>23</v>
      </c>
      <c r="K25">
        <f t="shared" si="6"/>
        <v>24</v>
      </c>
      <c r="L25">
        <v>10000</v>
      </c>
      <c r="M25">
        <v>0</v>
      </c>
      <c r="N25">
        <f>140/3.6</f>
        <v>38.888888888888886</v>
      </c>
      <c r="Q25">
        <f t="shared" si="3"/>
        <v>0.95400000000000063</v>
      </c>
    </row>
    <row r="26" spans="1:17" x14ac:dyDescent="0.35">
      <c r="A26">
        <f t="shared" si="0"/>
        <v>25</v>
      </c>
      <c r="B26">
        <v>15.506</v>
      </c>
      <c r="C26">
        <v>0</v>
      </c>
      <c r="G26">
        <v>1</v>
      </c>
      <c r="H26">
        <v>1</v>
      </c>
      <c r="I26">
        <f t="shared" si="4"/>
        <v>123</v>
      </c>
      <c r="J26">
        <f t="shared" si="5"/>
        <v>24</v>
      </c>
      <c r="K26">
        <f t="shared" si="6"/>
        <v>25</v>
      </c>
      <c r="L26">
        <v>10000</v>
      </c>
      <c r="M26">
        <v>0</v>
      </c>
      <c r="N26">
        <f t="shared" ref="N26:N71" si="7">140/3.6</f>
        <v>38.888888888888886</v>
      </c>
      <c r="Q26">
        <f t="shared" si="3"/>
        <v>0.47100000000000009</v>
      </c>
    </row>
    <row r="27" spans="1:17" x14ac:dyDescent="0.35">
      <c r="A27">
        <f t="shared" si="0"/>
        <v>26</v>
      </c>
      <c r="B27">
        <v>16.09</v>
      </c>
      <c r="C27">
        <v>0</v>
      </c>
      <c r="D27" t="s">
        <v>61</v>
      </c>
      <c r="E27">
        <v>2</v>
      </c>
      <c r="I27">
        <f t="shared" si="4"/>
        <v>124</v>
      </c>
      <c r="J27">
        <f t="shared" si="5"/>
        <v>25</v>
      </c>
      <c r="K27">
        <f t="shared" si="6"/>
        <v>26</v>
      </c>
      <c r="L27">
        <v>10000</v>
      </c>
      <c r="M27">
        <v>1</v>
      </c>
      <c r="N27">
        <f t="shared" si="7"/>
        <v>38.888888888888886</v>
      </c>
      <c r="Q27">
        <f t="shared" si="3"/>
        <v>0.58399999999999963</v>
      </c>
    </row>
    <row r="28" spans="1:17" x14ac:dyDescent="0.35">
      <c r="A28">
        <f t="shared" si="0"/>
        <v>27</v>
      </c>
      <c r="B28">
        <v>16.484000000000002</v>
      </c>
      <c r="C28">
        <v>0</v>
      </c>
      <c r="G28">
        <v>1</v>
      </c>
      <c r="H28">
        <v>-1</v>
      </c>
      <c r="I28">
        <f t="shared" si="4"/>
        <v>125</v>
      </c>
      <c r="J28">
        <f t="shared" si="5"/>
        <v>26</v>
      </c>
      <c r="K28">
        <f t="shared" si="6"/>
        <v>27</v>
      </c>
      <c r="L28">
        <v>10000</v>
      </c>
      <c r="M28">
        <v>0</v>
      </c>
      <c r="N28">
        <f t="shared" si="7"/>
        <v>38.888888888888886</v>
      </c>
      <c r="Q28">
        <f t="shared" si="3"/>
        <v>0.3940000000000019</v>
      </c>
    </row>
    <row r="29" spans="1:17" x14ac:dyDescent="0.35">
      <c r="A29">
        <f t="shared" si="0"/>
        <v>28</v>
      </c>
      <c r="B29">
        <v>17.010000000000002</v>
      </c>
      <c r="C29">
        <v>0</v>
      </c>
      <c r="G29">
        <v>1</v>
      </c>
      <c r="H29">
        <v>1</v>
      </c>
      <c r="I29">
        <f t="shared" si="4"/>
        <v>126</v>
      </c>
      <c r="J29">
        <f t="shared" si="5"/>
        <v>27</v>
      </c>
      <c r="K29">
        <f t="shared" si="6"/>
        <v>28</v>
      </c>
      <c r="L29">
        <v>10000</v>
      </c>
      <c r="M29">
        <v>0</v>
      </c>
      <c r="N29">
        <f t="shared" si="7"/>
        <v>38.888888888888886</v>
      </c>
      <c r="Q29">
        <f t="shared" si="3"/>
        <v>0.5259999999999998</v>
      </c>
    </row>
    <row r="30" spans="1:17" x14ac:dyDescent="0.35">
      <c r="A30">
        <f t="shared" si="0"/>
        <v>29</v>
      </c>
      <c r="B30">
        <v>17.21</v>
      </c>
      <c r="C30">
        <v>0</v>
      </c>
      <c r="F30">
        <v>1</v>
      </c>
      <c r="I30">
        <f t="shared" si="4"/>
        <v>127</v>
      </c>
      <c r="J30">
        <f t="shared" si="5"/>
        <v>28</v>
      </c>
      <c r="K30">
        <f t="shared" si="6"/>
        <v>29</v>
      </c>
      <c r="L30">
        <v>10000</v>
      </c>
      <c r="M30">
        <v>0</v>
      </c>
      <c r="N30">
        <f t="shared" si="7"/>
        <v>38.888888888888886</v>
      </c>
      <c r="Q30">
        <f t="shared" si="3"/>
        <v>0.19999999999999929</v>
      </c>
    </row>
    <row r="31" spans="1:17" x14ac:dyDescent="0.35">
      <c r="A31">
        <f t="shared" si="0"/>
        <v>30</v>
      </c>
      <c r="B31">
        <v>17.29</v>
      </c>
      <c r="C31">
        <v>0</v>
      </c>
      <c r="I31">
        <f t="shared" ref="I31:I88" si="8">I30+1</f>
        <v>128</v>
      </c>
      <c r="J31">
        <f t="shared" si="5"/>
        <v>29</v>
      </c>
      <c r="K31">
        <f t="shared" si="6"/>
        <v>30</v>
      </c>
      <c r="L31">
        <v>10000</v>
      </c>
      <c r="M31">
        <v>0</v>
      </c>
      <c r="N31">
        <f t="shared" si="7"/>
        <v>38.888888888888886</v>
      </c>
      <c r="Q31">
        <f t="shared" si="3"/>
        <v>7.9999999999998295E-2</v>
      </c>
    </row>
    <row r="32" spans="1:17" x14ac:dyDescent="0.35">
      <c r="A32">
        <f t="shared" si="0"/>
        <v>31</v>
      </c>
      <c r="B32">
        <v>17.452999999999999</v>
      </c>
      <c r="C32">
        <v>0</v>
      </c>
      <c r="I32">
        <f t="shared" si="8"/>
        <v>129</v>
      </c>
      <c r="J32">
        <f t="shared" si="5"/>
        <v>30</v>
      </c>
      <c r="K32">
        <f t="shared" si="6"/>
        <v>31</v>
      </c>
      <c r="L32">
        <v>10000</v>
      </c>
      <c r="M32">
        <v>0</v>
      </c>
      <c r="N32">
        <f t="shared" si="7"/>
        <v>38.888888888888886</v>
      </c>
      <c r="Q32">
        <f t="shared" si="3"/>
        <v>0.16300000000000026</v>
      </c>
    </row>
    <row r="33" spans="1:17" x14ac:dyDescent="0.35">
      <c r="A33">
        <f t="shared" si="0"/>
        <v>32</v>
      </c>
      <c r="B33">
        <v>18.033000000000001</v>
      </c>
      <c r="C33">
        <v>0</v>
      </c>
      <c r="G33">
        <v>1</v>
      </c>
      <c r="H33">
        <v>-1</v>
      </c>
      <c r="I33">
        <f t="shared" si="8"/>
        <v>130</v>
      </c>
      <c r="J33">
        <f t="shared" si="5"/>
        <v>31</v>
      </c>
      <c r="K33">
        <f t="shared" si="6"/>
        <v>32</v>
      </c>
      <c r="L33">
        <v>10000</v>
      </c>
      <c r="M33">
        <v>0</v>
      </c>
      <c r="N33">
        <f t="shared" si="7"/>
        <v>38.888888888888886</v>
      </c>
      <c r="Q33">
        <f t="shared" si="3"/>
        <v>0.58000000000000185</v>
      </c>
    </row>
    <row r="34" spans="1:17" x14ac:dyDescent="0.35">
      <c r="A34">
        <f t="shared" si="0"/>
        <v>33</v>
      </c>
      <c r="B34">
        <v>18.646999999999998</v>
      </c>
      <c r="C34">
        <v>0</v>
      </c>
      <c r="I34">
        <f t="shared" si="8"/>
        <v>131</v>
      </c>
      <c r="J34">
        <f t="shared" si="5"/>
        <v>32</v>
      </c>
      <c r="K34">
        <f t="shared" si="6"/>
        <v>33</v>
      </c>
      <c r="L34">
        <v>10000</v>
      </c>
      <c r="M34">
        <v>0</v>
      </c>
      <c r="N34">
        <f t="shared" si="7"/>
        <v>38.888888888888886</v>
      </c>
      <c r="Q34">
        <f t="shared" si="3"/>
        <v>0.61399999999999721</v>
      </c>
    </row>
    <row r="35" spans="1:17" x14ac:dyDescent="0.35">
      <c r="A35">
        <f t="shared" si="0"/>
        <v>34</v>
      </c>
      <c r="B35">
        <v>18.75</v>
      </c>
      <c r="C35">
        <v>0</v>
      </c>
      <c r="D35" t="s">
        <v>15</v>
      </c>
      <c r="I35">
        <f t="shared" si="8"/>
        <v>132</v>
      </c>
      <c r="J35">
        <f t="shared" si="5"/>
        <v>33</v>
      </c>
      <c r="K35">
        <f t="shared" si="6"/>
        <v>34</v>
      </c>
      <c r="L35">
        <v>10000</v>
      </c>
      <c r="M35">
        <v>0</v>
      </c>
      <c r="N35">
        <f t="shared" si="7"/>
        <v>38.888888888888886</v>
      </c>
      <c r="Q35">
        <f t="shared" si="3"/>
        <v>0.10300000000000153</v>
      </c>
    </row>
    <row r="36" spans="1:17" x14ac:dyDescent="0.35">
      <c r="A36">
        <f t="shared" si="0"/>
        <v>35</v>
      </c>
      <c r="B36">
        <v>18.823</v>
      </c>
      <c r="C36">
        <v>0</v>
      </c>
      <c r="G36">
        <v>1</v>
      </c>
      <c r="H36">
        <v>1</v>
      </c>
      <c r="I36">
        <f t="shared" si="8"/>
        <v>133</v>
      </c>
      <c r="J36">
        <f t="shared" si="5"/>
        <v>34</v>
      </c>
      <c r="K36">
        <f t="shared" si="6"/>
        <v>35</v>
      </c>
      <c r="L36">
        <v>10000</v>
      </c>
      <c r="M36">
        <v>0</v>
      </c>
      <c r="N36">
        <f t="shared" si="7"/>
        <v>38.888888888888886</v>
      </c>
      <c r="Q36">
        <f t="shared" si="3"/>
        <v>7.3000000000000398E-2</v>
      </c>
    </row>
    <row r="37" spans="1:17" x14ac:dyDescent="0.35">
      <c r="A37">
        <f t="shared" si="0"/>
        <v>36</v>
      </c>
      <c r="B37">
        <v>18.96</v>
      </c>
      <c r="C37">
        <v>0</v>
      </c>
      <c r="I37">
        <f t="shared" si="8"/>
        <v>134</v>
      </c>
      <c r="J37">
        <f t="shared" si="5"/>
        <v>35</v>
      </c>
      <c r="K37">
        <f t="shared" si="6"/>
        <v>36</v>
      </c>
      <c r="L37">
        <v>10000</v>
      </c>
      <c r="M37">
        <v>0</v>
      </c>
      <c r="N37">
        <f t="shared" si="7"/>
        <v>38.888888888888886</v>
      </c>
      <c r="Q37">
        <f t="shared" si="3"/>
        <v>0.13700000000000045</v>
      </c>
    </row>
    <row r="38" spans="1:17" x14ac:dyDescent="0.35">
      <c r="A38">
        <f t="shared" si="0"/>
        <v>37</v>
      </c>
      <c r="B38">
        <v>19.05</v>
      </c>
      <c r="C38">
        <v>0</v>
      </c>
      <c r="I38">
        <f t="shared" si="8"/>
        <v>135</v>
      </c>
      <c r="J38">
        <f t="shared" si="5"/>
        <v>36</v>
      </c>
      <c r="K38">
        <f t="shared" si="6"/>
        <v>37</v>
      </c>
      <c r="L38">
        <v>10000</v>
      </c>
      <c r="M38">
        <v>0</v>
      </c>
      <c r="N38">
        <f t="shared" si="7"/>
        <v>38.888888888888886</v>
      </c>
      <c r="Q38">
        <f t="shared" si="3"/>
        <v>8.9999999999999858E-2</v>
      </c>
    </row>
    <row r="39" spans="1:17" x14ac:dyDescent="0.35">
      <c r="A39">
        <f t="shared" si="0"/>
        <v>38</v>
      </c>
      <c r="B39">
        <v>19.183</v>
      </c>
      <c r="C39">
        <v>0</v>
      </c>
      <c r="I39">
        <f t="shared" si="8"/>
        <v>136</v>
      </c>
      <c r="J39">
        <f t="shared" si="5"/>
        <v>37</v>
      </c>
      <c r="K39">
        <f t="shared" si="6"/>
        <v>38</v>
      </c>
      <c r="L39">
        <v>10000</v>
      </c>
      <c r="M39">
        <v>0</v>
      </c>
      <c r="N39">
        <f t="shared" si="7"/>
        <v>38.888888888888886</v>
      </c>
      <c r="Q39">
        <f t="shared" si="3"/>
        <v>0.13299999999999912</v>
      </c>
    </row>
    <row r="40" spans="1:17" x14ac:dyDescent="0.35">
      <c r="A40">
        <f t="shared" si="0"/>
        <v>39</v>
      </c>
      <c r="B40">
        <v>19.422999999999998</v>
      </c>
      <c r="C40">
        <v>0</v>
      </c>
      <c r="I40">
        <f t="shared" si="8"/>
        <v>137</v>
      </c>
      <c r="J40">
        <f t="shared" si="5"/>
        <v>38</v>
      </c>
      <c r="K40">
        <f t="shared" si="6"/>
        <v>39</v>
      </c>
      <c r="L40">
        <v>10000</v>
      </c>
      <c r="M40">
        <v>0</v>
      </c>
      <c r="N40">
        <f t="shared" si="7"/>
        <v>38.888888888888886</v>
      </c>
      <c r="Q40">
        <f t="shared" si="3"/>
        <v>0.23999999999999844</v>
      </c>
    </row>
    <row r="41" spans="1:17" x14ac:dyDescent="0.35">
      <c r="A41">
        <f t="shared" si="0"/>
        <v>40</v>
      </c>
      <c r="B41">
        <v>19.507000000000001</v>
      </c>
      <c r="C41">
        <v>0</v>
      </c>
      <c r="I41">
        <f t="shared" si="8"/>
        <v>138</v>
      </c>
      <c r="J41">
        <f t="shared" si="5"/>
        <v>39</v>
      </c>
      <c r="K41">
        <f t="shared" si="6"/>
        <v>40</v>
      </c>
      <c r="L41">
        <v>10000</v>
      </c>
      <c r="M41">
        <v>0</v>
      </c>
      <c r="N41">
        <f t="shared" si="7"/>
        <v>38.888888888888886</v>
      </c>
      <c r="Q41">
        <f t="shared" si="3"/>
        <v>8.4000000000003183E-2</v>
      </c>
    </row>
    <row r="42" spans="1:17" x14ac:dyDescent="0.35">
      <c r="A42">
        <f t="shared" si="0"/>
        <v>41</v>
      </c>
      <c r="B42">
        <v>19.600000000000001</v>
      </c>
      <c r="C42">
        <v>0</v>
      </c>
      <c r="D42" t="s">
        <v>16</v>
      </c>
      <c r="I42">
        <f t="shared" si="8"/>
        <v>139</v>
      </c>
      <c r="J42">
        <f t="shared" si="5"/>
        <v>40</v>
      </c>
      <c r="K42">
        <f t="shared" si="6"/>
        <v>41</v>
      </c>
      <c r="L42">
        <v>10000</v>
      </c>
      <c r="M42">
        <v>0</v>
      </c>
      <c r="N42">
        <f t="shared" si="7"/>
        <v>38.888888888888886</v>
      </c>
      <c r="Q42">
        <f t="shared" si="3"/>
        <v>9.2999999999999972E-2</v>
      </c>
    </row>
    <row r="43" spans="1:17" x14ac:dyDescent="0.35">
      <c r="A43">
        <f t="shared" si="0"/>
        <v>42</v>
      </c>
      <c r="B43">
        <v>19.943000000000001</v>
      </c>
      <c r="C43">
        <v>0</v>
      </c>
      <c r="G43">
        <v>1</v>
      </c>
      <c r="H43">
        <v>-1</v>
      </c>
      <c r="I43">
        <f t="shared" si="8"/>
        <v>140</v>
      </c>
      <c r="J43">
        <f t="shared" si="5"/>
        <v>41</v>
      </c>
      <c r="K43">
        <f t="shared" si="6"/>
        <v>42</v>
      </c>
      <c r="L43">
        <v>10000</v>
      </c>
      <c r="M43">
        <v>0</v>
      </c>
      <c r="N43">
        <f t="shared" si="7"/>
        <v>38.888888888888886</v>
      </c>
      <c r="Q43">
        <f t="shared" si="3"/>
        <v>0.34299999999999997</v>
      </c>
    </row>
    <row r="44" spans="1:17" x14ac:dyDescent="0.35">
      <c r="A44">
        <f t="shared" si="0"/>
        <v>43</v>
      </c>
      <c r="B44">
        <v>20.353999999999999</v>
      </c>
      <c r="C44">
        <v>0</v>
      </c>
      <c r="G44">
        <v>1</v>
      </c>
      <c r="H44">
        <v>1</v>
      </c>
      <c r="I44">
        <f t="shared" si="8"/>
        <v>141</v>
      </c>
      <c r="J44">
        <f t="shared" si="5"/>
        <v>42</v>
      </c>
      <c r="K44">
        <f t="shared" si="6"/>
        <v>43</v>
      </c>
      <c r="L44">
        <v>10000</v>
      </c>
      <c r="M44">
        <v>0</v>
      </c>
      <c r="N44">
        <f t="shared" si="7"/>
        <v>38.888888888888886</v>
      </c>
      <c r="Q44">
        <f t="shared" si="3"/>
        <v>0.41099999999999781</v>
      </c>
    </row>
    <row r="45" spans="1:17" x14ac:dyDescent="0.35">
      <c r="A45">
        <f t="shared" si="0"/>
        <v>44</v>
      </c>
      <c r="B45">
        <v>21.347999999999999</v>
      </c>
      <c r="C45">
        <v>0</v>
      </c>
      <c r="G45">
        <v>1</v>
      </c>
      <c r="H45">
        <v>-1</v>
      </c>
      <c r="I45">
        <f t="shared" si="8"/>
        <v>142</v>
      </c>
      <c r="J45">
        <f t="shared" si="5"/>
        <v>43</v>
      </c>
      <c r="K45">
        <f t="shared" si="6"/>
        <v>44</v>
      </c>
      <c r="L45">
        <v>10000</v>
      </c>
      <c r="M45">
        <v>0</v>
      </c>
      <c r="N45">
        <f t="shared" si="7"/>
        <v>38.888888888888886</v>
      </c>
      <c r="Q45">
        <f t="shared" si="3"/>
        <v>0.99399999999999977</v>
      </c>
    </row>
    <row r="46" spans="1:17" x14ac:dyDescent="0.35">
      <c r="A46">
        <f t="shared" si="0"/>
        <v>45</v>
      </c>
      <c r="B46">
        <v>21.914000000000001</v>
      </c>
      <c r="C46">
        <v>0</v>
      </c>
      <c r="G46">
        <v>1</v>
      </c>
      <c r="H46">
        <v>1</v>
      </c>
      <c r="I46">
        <f t="shared" si="8"/>
        <v>143</v>
      </c>
      <c r="J46">
        <f t="shared" si="5"/>
        <v>44</v>
      </c>
      <c r="K46">
        <f t="shared" si="6"/>
        <v>45</v>
      </c>
      <c r="L46">
        <v>10000</v>
      </c>
      <c r="M46">
        <v>0</v>
      </c>
      <c r="N46">
        <f t="shared" si="7"/>
        <v>38.888888888888886</v>
      </c>
      <c r="Q46">
        <f t="shared" si="3"/>
        <v>0.5660000000000025</v>
      </c>
    </row>
    <row r="47" spans="1:17" x14ac:dyDescent="0.35">
      <c r="A47">
        <f t="shared" si="0"/>
        <v>46</v>
      </c>
      <c r="B47">
        <v>22.61</v>
      </c>
      <c r="C47">
        <v>0</v>
      </c>
      <c r="D47" t="s">
        <v>17</v>
      </c>
      <c r="I47">
        <f t="shared" si="8"/>
        <v>144</v>
      </c>
      <c r="J47">
        <f t="shared" si="5"/>
        <v>45</v>
      </c>
      <c r="K47">
        <f t="shared" si="6"/>
        <v>46</v>
      </c>
      <c r="L47">
        <v>10000</v>
      </c>
      <c r="M47">
        <v>0</v>
      </c>
      <c r="N47">
        <f t="shared" si="7"/>
        <v>38.888888888888886</v>
      </c>
      <c r="Q47">
        <f t="shared" si="3"/>
        <v>0.69599999999999795</v>
      </c>
    </row>
    <row r="48" spans="1:17" x14ac:dyDescent="0.35">
      <c r="A48">
        <f t="shared" si="0"/>
        <v>47</v>
      </c>
      <c r="B48">
        <v>22.885999999999999</v>
      </c>
      <c r="C48">
        <v>0</v>
      </c>
      <c r="G48">
        <v>1</v>
      </c>
      <c r="H48">
        <v>-1</v>
      </c>
      <c r="I48">
        <f t="shared" si="8"/>
        <v>145</v>
      </c>
      <c r="J48">
        <f t="shared" si="5"/>
        <v>46</v>
      </c>
      <c r="K48">
        <f t="shared" si="6"/>
        <v>47</v>
      </c>
      <c r="L48">
        <v>10000</v>
      </c>
      <c r="M48">
        <v>0</v>
      </c>
      <c r="N48">
        <f t="shared" si="7"/>
        <v>38.888888888888886</v>
      </c>
      <c r="Q48">
        <f t="shared" si="3"/>
        <v>0.2759999999999998</v>
      </c>
    </row>
    <row r="49" spans="1:17" x14ac:dyDescent="0.35">
      <c r="A49">
        <f t="shared" si="0"/>
        <v>48</v>
      </c>
      <c r="B49">
        <v>22.946000000000002</v>
      </c>
      <c r="C49">
        <v>0</v>
      </c>
      <c r="G49">
        <v>1</v>
      </c>
      <c r="H49">
        <v>1</v>
      </c>
      <c r="I49">
        <f t="shared" si="8"/>
        <v>146</v>
      </c>
      <c r="J49">
        <f t="shared" si="5"/>
        <v>47</v>
      </c>
      <c r="K49">
        <f t="shared" si="6"/>
        <v>48</v>
      </c>
      <c r="L49">
        <v>10000</v>
      </c>
      <c r="M49">
        <v>0</v>
      </c>
      <c r="N49">
        <f t="shared" si="7"/>
        <v>38.888888888888886</v>
      </c>
      <c r="Q49">
        <f t="shared" si="3"/>
        <v>6.0000000000002274E-2</v>
      </c>
    </row>
    <row r="50" spans="1:17" x14ac:dyDescent="0.35">
      <c r="A50">
        <f t="shared" si="0"/>
        <v>49</v>
      </c>
      <c r="B50">
        <v>24.241</v>
      </c>
      <c r="C50">
        <v>0</v>
      </c>
      <c r="G50">
        <v>1</v>
      </c>
      <c r="H50">
        <v>-1</v>
      </c>
      <c r="I50">
        <f t="shared" si="8"/>
        <v>147</v>
      </c>
      <c r="J50">
        <f t="shared" si="5"/>
        <v>48</v>
      </c>
      <c r="K50">
        <f t="shared" si="6"/>
        <v>49</v>
      </c>
      <c r="L50">
        <v>10000</v>
      </c>
      <c r="M50">
        <v>0</v>
      </c>
      <c r="N50">
        <f t="shared" si="7"/>
        <v>38.888888888888886</v>
      </c>
      <c r="Q50">
        <f t="shared" si="3"/>
        <v>1.2949999999999982</v>
      </c>
    </row>
    <row r="51" spans="1:17" x14ac:dyDescent="0.35">
      <c r="A51">
        <f t="shared" si="0"/>
        <v>50</v>
      </c>
      <c r="B51">
        <v>24.305</v>
      </c>
      <c r="C51">
        <v>0</v>
      </c>
      <c r="G51">
        <v>1</v>
      </c>
      <c r="H51">
        <v>1</v>
      </c>
      <c r="I51">
        <f t="shared" si="8"/>
        <v>148</v>
      </c>
      <c r="J51">
        <f t="shared" si="5"/>
        <v>49</v>
      </c>
      <c r="K51">
        <f t="shared" si="6"/>
        <v>50</v>
      </c>
      <c r="L51">
        <v>10000</v>
      </c>
      <c r="M51">
        <v>0</v>
      </c>
      <c r="N51">
        <f t="shared" si="7"/>
        <v>38.888888888888886</v>
      </c>
      <c r="Q51">
        <f t="shared" si="3"/>
        <v>6.4000000000000057E-2</v>
      </c>
    </row>
    <row r="52" spans="1:17" x14ac:dyDescent="0.35">
      <c r="A52">
        <f t="shared" si="0"/>
        <v>51</v>
      </c>
      <c r="B52">
        <v>24.585000000000001</v>
      </c>
      <c r="C52">
        <v>0</v>
      </c>
      <c r="D52" t="s">
        <v>19</v>
      </c>
      <c r="I52">
        <f t="shared" si="8"/>
        <v>149</v>
      </c>
      <c r="J52">
        <f t="shared" si="5"/>
        <v>50</v>
      </c>
      <c r="K52">
        <f t="shared" si="6"/>
        <v>51</v>
      </c>
      <c r="L52">
        <v>10000</v>
      </c>
      <c r="M52">
        <v>0</v>
      </c>
      <c r="N52">
        <f t="shared" si="7"/>
        <v>38.888888888888886</v>
      </c>
      <c r="Q52">
        <f t="shared" si="3"/>
        <v>0.28000000000000114</v>
      </c>
    </row>
    <row r="53" spans="1:17" x14ac:dyDescent="0.35">
      <c r="A53">
        <f t="shared" si="0"/>
        <v>52</v>
      </c>
      <c r="B53">
        <v>25.207999999999998</v>
      </c>
      <c r="C53">
        <v>0</v>
      </c>
      <c r="G53">
        <v>1</v>
      </c>
      <c r="H53">
        <v>-1</v>
      </c>
      <c r="I53">
        <f t="shared" si="8"/>
        <v>150</v>
      </c>
      <c r="J53">
        <f t="shared" si="5"/>
        <v>51</v>
      </c>
      <c r="K53">
        <f t="shared" si="6"/>
        <v>52</v>
      </c>
      <c r="L53">
        <v>10000</v>
      </c>
      <c r="M53">
        <v>0</v>
      </c>
      <c r="N53">
        <f t="shared" si="7"/>
        <v>38.888888888888886</v>
      </c>
      <c r="Q53">
        <f t="shared" si="3"/>
        <v>0.62299999999999756</v>
      </c>
    </row>
    <row r="54" spans="1:17" x14ac:dyDescent="0.35">
      <c r="A54">
        <f t="shared" si="0"/>
        <v>53</v>
      </c>
      <c r="B54">
        <v>25.32</v>
      </c>
      <c r="C54">
        <v>0</v>
      </c>
      <c r="G54">
        <v>1</v>
      </c>
      <c r="H54">
        <v>1</v>
      </c>
      <c r="I54">
        <f t="shared" si="8"/>
        <v>151</v>
      </c>
      <c r="J54">
        <f t="shared" si="5"/>
        <v>52</v>
      </c>
      <c r="K54">
        <f t="shared" si="6"/>
        <v>53</v>
      </c>
      <c r="L54">
        <v>10000</v>
      </c>
      <c r="M54">
        <v>0</v>
      </c>
      <c r="N54">
        <f t="shared" si="7"/>
        <v>38.888888888888886</v>
      </c>
      <c r="Q54">
        <f t="shared" si="3"/>
        <v>0.11200000000000188</v>
      </c>
    </row>
    <row r="55" spans="1:17" x14ac:dyDescent="0.35">
      <c r="A55">
        <f t="shared" si="0"/>
        <v>54</v>
      </c>
      <c r="B55">
        <v>25.52</v>
      </c>
      <c r="C55">
        <v>0</v>
      </c>
      <c r="I55">
        <f t="shared" si="8"/>
        <v>152</v>
      </c>
      <c r="J55">
        <f t="shared" si="5"/>
        <v>53</v>
      </c>
      <c r="K55">
        <f t="shared" si="6"/>
        <v>54</v>
      </c>
      <c r="L55">
        <v>10000</v>
      </c>
      <c r="M55">
        <v>0</v>
      </c>
      <c r="N55">
        <f t="shared" si="7"/>
        <v>38.888888888888886</v>
      </c>
      <c r="Q55">
        <f t="shared" si="3"/>
        <v>0.19999999999999929</v>
      </c>
    </row>
    <row r="56" spans="1:17" x14ac:dyDescent="0.35">
      <c r="A56">
        <f t="shared" si="0"/>
        <v>55</v>
      </c>
      <c r="B56">
        <v>25.6</v>
      </c>
      <c r="C56">
        <v>0</v>
      </c>
      <c r="F56">
        <v>1</v>
      </c>
      <c r="I56">
        <f t="shared" si="8"/>
        <v>153</v>
      </c>
      <c r="J56">
        <f t="shared" si="5"/>
        <v>54</v>
      </c>
      <c r="K56">
        <f t="shared" si="6"/>
        <v>55</v>
      </c>
      <c r="L56">
        <v>10000</v>
      </c>
      <c r="M56">
        <v>0</v>
      </c>
      <c r="N56">
        <f t="shared" si="7"/>
        <v>38.888888888888886</v>
      </c>
      <c r="Q56">
        <f t="shared" si="3"/>
        <v>8.0000000000001847E-2</v>
      </c>
    </row>
    <row r="57" spans="1:17" x14ac:dyDescent="0.35">
      <c r="A57">
        <f t="shared" si="0"/>
        <v>56</v>
      </c>
      <c r="B57">
        <v>26.43</v>
      </c>
      <c r="C57">
        <v>0</v>
      </c>
      <c r="I57">
        <f t="shared" si="8"/>
        <v>154</v>
      </c>
      <c r="J57">
        <f t="shared" si="5"/>
        <v>55</v>
      </c>
      <c r="K57">
        <f t="shared" si="6"/>
        <v>56</v>
      </c>
      <c r="L57">
        <v>10000</v>
      </c>
      <c r="M57">
        <v>0</v>
      </c>
      <c r="N57">
        <f t="shared" si="7"/>
        <v>38.888888888888886</v>
      </c>
      <c r="Q57">
        <f t="shared" si="3"/>
        <v>0.82999999999999829</v>
      </c>
    </row>
    <row r="58" spans="1:17" x14ac:dyDescent="0.35">
      <c r="A58">
        <f t="shared" si="0"/>
        <v>57</v>
      </c>
      <c r="B58">
        <v>26.49</v>
      </c>
      <c r="C58">
        <v>0</v>
      </c>
      <c r="I58">
        <f t="shared" si="8"/>
        <v>155</v>
      </c>
      <c r="J58">
        <f t="shared" si="5"/>
        <v>56</v>
      </c>
      <c r="K58">
        <f t="shared" si="6"/>
        <v>57</v>
      </c>
      <c r="L58">
        <v>10000</v>
      </c>
      <c r="M58">
        <v>0</v>
      </c>
      <c r="N58">
        <f t="shared" si="7"/>
        <v>38.888888888888886</v>
      </c>
      <c r="Q58">
        <f t="shared" si="3"/>
        <v>5.9999999999998721E-2</v>
      </c>
    </row>
    <row r="59" spans="1:17" x14ac:dyDescent="0.35">
      <c r="A59">
        <f t="shared" si="0"/>
        <v>58</v>
      </c>
      <c r="B59">
        <v>26.533999999999999</v>
      </c>
      <c r="C59">
        <v>0</v>
      </c>
      <c r="I59">
        <f t="shared" si="8"/>
        <v>156</v>
      </c>
      <c r="J59">
        <f t="shared" si="5"/>
        <v>57</v>
      </c>
      <c r="K59">
        <f t="shared" si="6"/>
        <v>58</v>
      </c>
      <c r="L59">
        <v>10000</v>
      </c>
      <c r="M59">
        <v>0</v>
      </c>
      <c r="N59">
        <f t="shared" si="7"/>
        <v>38.888888888888886</v>
      </c>
      <c r="Q59">
        <f t="shared" si="3"/>
        <v>4.4000000000000483E-2</v>
      </c>
    </row>
    <row r="60" spans="1:17" x14ac:dyDescent="0.35">
      <c r="A60">
        <f t="shared" si="0"/>
        <v>59</v>
      </c>
      <c r="B60">
        <v>26.878</v>
      </c>
      <c r="C60">
        <v>0</v>
      </c>
      <c r="G60">
        <v>1</v>
      </c>
      <c r="H60">
        <v>-1</v>
      </c>
      <c r="I60">
        <f t="shared" si="8"/>
        <v>157</v>
      </c>
      <c r="J60">
        <f t="shared" si="5"/>
        <v>58</v>
      </c>
      <c r="K60">
        <f t="shared" si="6"/>
        <v>59</v>
      </c>
      <c r="L60">
        <v>10000</v>
      </c>
      <c r="M60">
        <v>0</v>
      </c>
      <c r="N60">
        <f t="shared" si="7"/>
        <v>38.888888888888886</v>
      </c>
      <c r="Q60">
        <f t="shared" si="3"/>
        <v>0.34400000000000119</v>
      </c>
    </row>
    <row r="61" spans="1:17" x14ac:dyDescent="0.35">
      <c r="A61">
        <f t="shared" si="0"/>
        <v>60</v>
      </c>
      <c r="B61">
        <v>27.152000000000001</v>
      </c>
      <c r="C61">
        <v>0</v>
      </c>
      <c r="D61" t="s">
        <v>20</v>
      </c>
      <c r="I61">
        <f t="shared" si="8"/>
        <v>158</v>
      </c>
      <c r="J61">
        <f t="shared" si="5"/>
        <v>59</v>
      </c>
      <c r="K61">
        <f t="shared" si="6"/>
        <v>60</v>
      </c>
      <c r="L61">
        <v>10000</v>
      </c>
      <c r="M61">
        <v>0</v>
      </c>
      <c r="N61">
        <f t="shared" si="7"/>
        <v>38.888888888888886</v>
      </c>
      <c r="Q61">
        <f t="shared" si="3"/>
        <v>0.27400000000000091</v>
      </c>
    </row>
    <row r="62" spans="1:17" x14ac:dyDescent="0.35">
      <c r="A62">
        <f t="shared" si="0"/>
        <v>61</v>
      </c>
      <c r="B62">
        <v>27.154</v>
      </c>
      <c r="C62">
        <v>0</v>
      </c>
      <c r="G62">
        <v>1</v>
      </c>
      <c r="H62">
        <v>1</v>
      </c>
      <c r="I62">
        <f t="shared" si="8"/>
        <v>159</v>
      </c>
      <c r="J62">
        <f t="shared" si="5"/>
        <v>60</v>
      </c>
      <c r="K62">
        <f t="shared" si="6"/>
        <v>61</v>
      </c>
      <c r="L62">
        <v>10000</v>
      </c>
      <c r="M62">
        <v>0</v>
      </c>
      <c r="N62">
        <f t="shared" si="7"/>
        <v>38.888888888888886</v>
      </c>
      <c r="Q62">
        <f t="shared" si="3"/>
        <v>1.9999999999988916E-3</v>
      </c>
    </row>
    <row r="63" spans="1:17" x14ac:dyDescent="0.35">
      <c r="A63">
        <f t="shared" si="0"/>
        <v>62</v>
      </c>
      <c r="B63">
        <v>27.155000000000001</v>
      </c>
      <c r="C63">
        <v>0</v>
      </c>
      <c r="I63">
        <f t="shared" si="8"/>
        <v>160</v>
      </c>
      <c r="J63">
        <f t="shared" si="5"/>
        <v>61</v>
      </c>
      <c r="K63">
        <f t="shared" si="6"/>
        <v>62</v>
      </c>
      <c r="L63">
        <v>10000</v>
      </c>
      <c r="M63">
        <v>0</v>
      </c>
      <c r="N63">
        <f t="shared" si="7"/>
        <v>38.888888888888886</v>
      </c>
      <c r="Q63">
        <f t="shared" si="3"/>
        <v>1.0000000000012221E-3</v>
      </c>
    </row>
    <row r="64" spans="1:17" x14ac:dyDescent="0.35">
      <c r="A64">
        <f t="shared" si="0"/>
        <v>63</v>
      </c>
      <c r="B64">
        <v>27.206</v>
      </c>
      <c r="C64">
        <v>0</v>
      </c>
      <c r="F64">
        <v>1</v>
      </c>
      <c r="I64">
        <f t="shared" si="8"/>
        <v>161</v>
      </c>
      <c r="J64">
        <f t="shared" si="5"/>
        <v>62</v>
      </c>
      <c r="K64">
        <f t="shared" si="6"/>
        <v>63</v>
      </c>
      <c r="L64">
        <v>10000</v>
      </c>
      <c r="M64">
        <v>0</v>
      </c>
      <c r="N64">
        <f t="shared" si="7"/>
        <v>38.888888888888886</v>
      </c>
      <c r="Q64">
        <f t="shared" si="3"/>
        <v>5.099999999999838E-2</v>
      </c>
    </row>
    <row r="65" spans="1:17" x14ac:dyDescent="0.35">
      <c r="A65">
        <f t="shared" si="0"/>
        <v>64</v>
      </c>
      <c r="B65">
        <v>27.209</v>
      </c>
      <c r="C65">
        <v>0</v>
      </c>
      <c r="G65">
        <v>1</v>
      </c>
      <c r="H65">
        <v>-1</v>
      </c>
      <c r="I65">
        <f t="shared" si="8"/>
        <v>162</v>
      </c>
      <c r="J65">
        <f t="shared" si="5"/>
        <v>63</v>
      </c>
      <c r="K65">
        <f t="shared" si="6"/>
        <v>64</v>
      </c>
      <c r="L65">
        <v>10000</v>
      </c>
      <c r="M65">
        <v>0</v>
      </c>
      <c r="N65">
        <f t="shared" si="7"/>
        <v>38.888888888888886</v>
      </c>
      <c r="Q65">
        <f t="shared" si="3"/>
        <v>3.0000000000001137E-3</v>
      </c>
    </row>
    <row r="66" spans="1:17" x14ac:dyDescent="0.35">
      <c r="A66">
        <f t="shared" si="0"/>
        <v>65</v>
      </c>
      <c r="B66">
        <v>27.33</v>
      </c>
      <c r="C66">
        <v>0</v>
      </c>
      <c r="F66">
        <v>1</v>
      </c>
      <c r="I66">
        <f t="shared" si="8"/>
        <v>163</v>
      </c>
      <c r="J66">
        <f t="shared" si="5"/>
        <v>64</v>
      </c>
      <c r="K66">
        <f t="shared" si="6"/>
        <v>65</v>
      </c>
      <c r="L66">
        <v>10000</v>
      </c>
      <c r="M66">
        <v>0</v>
      </c>
      <c r="N66">
        <f t="shared" si="7"/>
        <v>38.888888888888886</v>
      </c>
      <c r="Q66">
        <f t="shared" si="3"/>
        <v>0.12099999999999866</v>
      </c>
    </row>
    <row r="67" spans="1:17" x14ac:dyDescent="0.35">
      <c r="A67">
        <f t="shared" si="0"/>
        <v>66</v>
      </c>
      <c r="B67">
        <v>27.413</v>
      </c>
      <c r="C67">
        <v>0</v>
      </c>
      <c r="I67">
        <f t="shared" si="8"/>
        <v>164</v>
      </c>
      <c r="J67">
        <f t="shared" si="5"/>
        <v>65</v>
      </c>
      <c r="K67">
        <f t="shared" si="6"/>
        <v>66</v>
      </c>
      <c r="L67">
        <v>10000</v>
      </c>
      <c r="M67">
        <v>0</v>
      </c>
      <c r="N67">
        <f t="shared" si="7"/>
        <v>38.888888888888886</v>
      </c>
      <c r="Q67">
        <f t="shared" si="3"/>
        <v>8.3000000000001961E-2</v>
      </c>
    </row>
    <row r="68" spans="1:17" x14ac:dyDescent="0.35">
      <c r="A68">
        <f t="shared" si="0"/>
        <v>67</v>
      </c>
      <c r="B68">
        <v>28.152999999999999</v>
      </c>
      <c r="C68">
        <v>0</v>
      </c>
      <c r="G68">
        <v>1</v>
      </c>
      <c r="H68">
        <v>1</v>
      </c>
      <c r="I68">
        <f t="shared" si="8"/>
        <v>165</v>
      </c>
      <c r="J68">
        <f t="shared" si="5"/>
        <v>66</v>
      </c>
      <c r="K68">
        <f t="shared" si="6"/>
        <v>67</v>
      </c>
      <c r="L68">
        <v>10000</v>
      </c>
      <c r="M68">
        <v>0</v>
      </c>
      <c r="N68">
        <f t="shared" si="7"/>
        <v>38.888888888888886</v>
      </c>
      <c r="Q68">
        <f t="shared" ref="Q68:Q101" si="9">B68-B67</f>
        <v>0.73999999999999844</v>
      </c>
    </row>
    <row r="69" spans="1:17" x14ac:dyDescent="0.35">
      <c r="A69">
        <f t="shared" si="0"/>
        <v>68</v>
      </c>
      <c r="B69">
        <v>28.47</v>
      </c>
      <c r="C69">
        <v>0</v>
      </c>
      <c r="G69">
        <v>1</v>
      </c>
      <c r="H69">
        <v>-1</v>
      </c>
      <c r="I69">
        <f t="shared" si="8"/>
        <v>166</v>
      </c>
      <c r="J69">
        <f t="shared" ref="J69:J88" si="10">J68+1</f>
        <v>67</v>
      </c>
      <c r="K69">
        <f t="shared" ref="K69:K88" si="11">A69</f>
        <v>68</v>
      </c>
      <c r="L69">
        <v>10000</v>
      </c>
      <c r="M69">
        <v>0</v>
      </c>
      <c r="N69">
        <f t="shared" si="7"/>
        <v>38.888888888888886</v>
      </c>
      <c r="Q69">
        <f t="shared" si="9"/>
        <v>0.31700000000000017</v>
      </c>
    </row>
    <row r="70" spans="1:17" x14ac:dyDescent="0.35">
      <c r="A70">
        <f t="shared" si="0"/>
        <v>69</v>
      </c>
      <c r="B70">
        <v>29</v>
      </c>
      <c r="C70">
        <v>0</v>
      </c>
      <c r="I70">
        <f t="shared" si="8"/>
        <v>167</v>
      </c>
      <c r="J70">
        <f t="shared" si="10"/>
        <v>68</v>
      </c>
      <c r="K70">
        <f t="shared" si="11"/>
        <v>69</v>
      </c>
      <c r="L70">
        <v>10000</v>
      </c>
      <c r="M70">
        <v>0</v>
      </c>
      <c r="N70">
        <f t="shared" si="7"/>
        <v>38.888888888888886</v>
      </c>
      <c r="Q70">
        <f t="shared" si="9"/>
        <v>0.53000000000000114</v>
      </c>
    </row>
    <row r="71" spans="1:17" x14ac:dyDescent="0.35">
      <c r="A71">
        <f t="shared" ref="A71:A101" si="12">A70+1</f>
        <v>70</v>
      </c>
      <c r="B71">
        <v>29.055</v>
      </c>
      <c r="C71">
        <v>0</v>
      </c>
      <c r="G71">
        <v>1</v>
      </c>
      <c r="H71">
        <v>1</v>
      </c>
      <c r="I71">
        <f t="shared" si="8"/>
        <v>168</v>
      </c>
      <c r="J71">
        <f t="shared" si="10"/>
        <v>69</v>
      </c>
      <c r="K71">
        <f t="shared" si="11"/>
        <v>70</v>
      </c>
      <c r="L71">
        <v>10000</v>
      </c>
      <c r="M71">
        <v>0</v>
      </c>
      <c r="N71">
        <f t="shared" si="7"/>
        <v>38.888888888888886</v>
      </c>
      <c r="Q71">
        <f t="shared" si="9"/>
        <v>5.4999999999999716E-2</v>
      </c>
    </row>
    <row r="72" spans="1:17" x14ac:dyDescent="0.35">
      <c r="A72">
        <f t="shared" si="12"/>
        <v>71</v>
      </c>
      <c r="B72">
        <v>29.25</v>
      </c>
      <c r="C72">
        <v>0</v>
      </c>
      <c r="D72" t="s">
        <v>21</v>
      </c>
      <c r="I72">
        <f t="shared" si="8"/>
        <v>169</v>
      </c>
      <c r="J72">
        <f t="shared" si="10"/>
        <v>70</v>
      </c>
      <c r="K72">
        <f t="shared" si="11"/>
        <v>71</v>
      </c>
      <c r="L72">
        <v>10000</v>
      </c>
      <c r="M72">
        <v>0</v>
      </c>
      <c r="N72">
        <f>100/3.6</f>
        <v>27.777777777777779</v>
      </c>
      <c r="Q72">
        <f t="shared" si="9"/>
        <v>0.19500000000000028</v>
      </c>
    </row>
    <row r="73" spans="1:17" x14ac:dyDescent="0.35">
      <c r="A73">
        <f t="shared" si="12"/>
        <v>72</v>
      </c>
      <c r="B73">
        <v>29.372</v>
      </c>
      <c r="C73">
        <v>0</v>
      </c>
      <c r="I73">
        <f t="shared" si="8"/>
        <v>170</v>
      </c>
      <c r="J73">
        <f t="shared" si="10"/>
        <v>71</v>
      </c>
      <c r="K73">
        <f t="shared" si="11"/>
        <v>72</v>
      </c>
      <c r="L73">
        <v>10000</v>
      </c>
      <c r="M73">
        <v>0</v>
      </c>
      <c r="N73">
        <f t="shared" ref="N73:N101" si="13">100/3.6</f>
        <v>27.777777777777779</v>
      </c>
      <c r="Q73">
        <f t="shared" si="9"/>
        <v>0.12199999999999989</v>
      </c>
    </row>
    <row r="74" spans="1:17" x14ac:dyDescent="0.35">
      <c r="A74">
        <f t="shared" si="12"/>
        <v>73</v>
      </c>
      <c r="B74">
        <v>29.47</v>
      </c>
      <c r="C74">
        <v>0</v>
      </c>
      <c r="G74">
        <v>1</v>
      </c>
      <c r="H74">
        <v>-1</v>
      </c>
      <c r="I74">
        <f t="shared" si="8"/>
        <v>171</v>
      </c>
      <c r="J74">
        <f t="shared" si="10"/>
        <v>72</v>
      </c>
      <c r="K74">
        <f t="shared" si="11"/>
        <v>73</v>
      </c>
      <c r="L74">
        <v>10000</v>
      </c>
      <c r="M74">
        <v>0</v>
      </c>
      <c r="N74">
        <f t="shared" si="13"/>
        <v>27.777777777777779</v>
      </c>
      <c r="Q74">
        <f t="shared" si="9"/>
        <v>9.7999999999998977E-2</v>
      </c>
    </row>
    <row r="75" spans="1:17" x14ac:dyDescent="0.35">
      <c r="A75">
        <f t="shared" si="12"/>
        <v>74</v>
      </c>
      <c r="B75">
        <v>29.58</v>
      </c>
      <c r="C75">
        <v>0</v>
      </c>
      <c r="I75">
        <f t="shared" si="8"/>
        <v>172</v>
      </c>
      <c r="J75">
        <f t="shared" si="10"/>
        <v>73</v>
      </c>
      <c r="K75">
        <f t="shared" si="11"/>
        <v>74</v>
      </c>
      <c r="L75">
        <v>10000</v>
      </c>
      <c r="M75">
        <v>0</v>
      </c>
      <c r="N75">
        <f t="shared" si="13"/>
        <v>27.777777777777779</v>
      </c>
      <c r="Q75">
        <f t="shared" si="9"/>
        <v>0.10999999999999943</v>
      </c>
    </row>
    <row r="76" spans="1:17" x14ac:dyDescent="0.35">
      <c r="A76">
        <f t="shared" si="12"/>
        <v>75</v>
      </c>
      <c r="B76">
        <v>29.6</v>
      </c>
      <c r="C76">
        <v>0</v>
      </c>
      <c r="I76">
        <f t="shared" si="8"/>
        <v>173</v>
      </c>
      <c r="J76">
        <f t="shared" si="10"/>
        <v>74</v>
      </c>
      <c r="K76">
        <f t="shared" si="11"/>
        <v>75</v>
      </c>
      <c r="L76">
        <v>10000</v>
      </c>
      <c r="M76">
        <v>0</v>
      </c>
      <c r="N76">
        <f t="shared" si="13"/>
        <v>27.777777777777779</v>
      </c>
      <c r="Q76">
        <f t="shared" si="9"/>
        <v>2.0000000000003126E-2</v>
      </c>
    </row>
    <row r="77" spans="1:17" x14ac:dyDescent="0.35">
      <c r="A77">
        <f t="shared" si="12"/>
        <v>76</v>
      </c>
      <c r="B77">
        <v>29.74</v>
      </c>
      <c r="C77">
        <v>0</v>
      </c>
      <c r="F77">
        <v>1</v>
      </c>
      <c r="I77">
        <f t="shared" si="8"/>
        <v>174</v>
      </c>
      <c r="J77">
        <f t="shared" si="10"/>
        <v>75</v>
      </c>
      <c r="K77">
        <f t="shared" si="11"/>
        <v>76</v>
      </c>
      <c r="L77">
        <v>10000</v>
      </c>
      <c r="M77">
        <v>0</v>
      </c>
      <c r="N77">
        <f t="shared" si="13"/>
        <v>27.777777777777779</v>
      </c>
      <c r="Q77">
        <f t="shared" si="9"/>
        <v>0.13999999999999702</v>
      </c>
    </row>
    <row r="78" spans="1:17" x14ac:dyDescent="0.35">
      <c r="A78">
        <f t="shared" si="12"/>
        <v>77</v>
      </c>
      <c r="B78">
        <v>30.04</v>
      </c>
      <c r="C78">
        <v>0</v>
      </c>
      <c r="I78">
        <f t="shared" si="8"/>
        <v>175</v>
      </c>
      <c r="J78">
        <f t="shared" si="10"/>
        <v>76</v>
      </c>
      <c r="K78">
        <f t="shared" si="11"/>
        <v>77</v>
      </c>
      <c r="L78">
        <v>10000</v>
      </c>
      <c r="M78">
        <v>0</v>
      </c>
      <c r="N78">
        <f t="shared" si="13"/>
        <v>27.777777777777779</v>
      </c>
      <c r="Q78">
        <f t="shared" si="9"/>
        <v>0.30000000000000071</v>
      </c>
    </row>
    <row r="79" spans="1:17" x14ac:dyDescent="0.35">
      <c r="A79">
        <f t="shared" si="12"/>
        <v>78</v>
      </c>
      <c r="B79">
        <v>30.05</v>
      </c>
      <c r="C79">
        <v>0</v>
      </c>
      <c r="I79">
        <f t="shared" si="8"/>
        <v>176</v>
      </c>
      <c r="J79">
        <f t="shared" si="10"/>
        <v>77</v>
      </c>
      <c r="K79">
        <f t="shared" si="11"/>
        <v>78</v>
      </c>
      <c r="L79">
        <v>10000</v>
      </c>
      <c r="M79">
        <v>0</v>
      </c>
      <c r="N79">
        <f t="shared" si="13"/>
        <v>27.777777777777779</v>
      </c>
      <c r="Q79">
        <f t="shared" si="9"/>
        <v>1.0000000000001563E-2</v>
      </c>
    </row>
    <row r="80" spans="1:17" x14ac:dyDescent="0.35">
      <c r="A80">
        <f t="shared" si="12"/>
        <v>79</v>
      </c>
      <c r="B80">
        <v>30.06</v>
      </c>
      <c r="C80">
        <v>0</v>
      </c>
      <c r="F80">
        <v>1</v>
      </c>
      <c r="I80">
        <f t="shared" si="8"/>
        <v>177</v>
      </c>
      <c r="J80">
        <f t="shared" si="10"/>
        <v>78</v>
      </c>
      <c r="K80">
        <f t="shared" si="11"/>
        <v>79</v>
      </c>
      <c r="L80">
        <v>10000</v>
      </c>
      <c r="M80">
        <v>0</v>
      </c>
      <c r="N80">
        <f t="shared" si="13"/>
        <v>27.777777777777779</v>
      </c>
      <c r="Q80">
        <f t="shared" si="9"/>
        <v>9.9999999999980105E-3</v>
      </c>
    </row>
    <row r="81" spans="1:17" x14ac:dyDescent="0.35">
      <c r="A81">
        <f t="shared" si="12"/>
        <v>80</v>
      </c>
      <c r="B81">
        <v>30.2</v>
      </c>
      <c r="C81">
        <v>0</v>
      </c>
      <c r="I81">
        <f t="shared" si="8"/>
        <v>178</v>
      </c>
      <c r="J81">
        <f t="shared" si="10"/>
        <v>79</v>
      </c>
      <c r="K81">
        <f t="shared" si="11"/>
        <v>80</v>
      </c>
      <c r="L81">
        <v>10000</v>
      </c>
      <c r="M81">
        <v>0</v>
      </c>
      <c r="N81">
        <f t="shared" si="13"/>
        <v>27.777777777777779</v>
      </c>
      <c r="Q81">
        <f t="shared" si="9"/>
        <v>0.14000000000000057</v>
      </c>
    </row>
    <row r="82" spans="1:17" x14ac:dyDescent="0.35">
      <c r="A82">
        <f t="shared" si="12"/>
        <v>81</v>
      </c>
      <c r="B82">
        <v>30.22</v>
      </c>
      <c r="C82">
        <v>0</v>
      </c>
      <c r="I82">
        <f t="shared" si="8"/>
        <v>179</v>
      </c>
      <c r="J82">
        <f t="shared" si="10"/>
        <v>80</v>
      </c>
      <c r="K82">
        <f t="shared" si="11"/>
        <v>81</v>
      </c>
      <c r="L82">
        <v>10000</v>
      </c>
      <c r="M82">
        <v>0</v>
      </c>
      <c r="N82">
        <f t="shared" si="13"/>
        <v>27.777777777777779</v>
      </c>
      <c r="Q82">
        <f t="shared" si="9"/>
        <v>1.9999999999999574E-2</v>
      </c>
    </row>
    <row r="83" spans="1:17" x14ac:dyDescent="0.35">
      <c r="A83">
        <f t="shared" si="12"/>
        <v>82</v>
      </c>
      <c r="B83">
        <v>30.332000000000001</v>
      </c>
      <c r="C83">
        <v>0</v>
      </c>
      <c r="I83">
        <f t="shared" si="8"/>
        <v>180</v>
      </c>
      <c r="J83">
        <f t="shared" si="10"/>
        <v>81</v>
      </c>
      <c r="K83">
        <f t="shared" si="11"/>
        <v>82</v>
      </c>
      <c r="L83">
        <v>10000</v>
      </c>
      <c r="M83">
        <v>0</v>
      </c>
      <c r="N83">
        <f t="shared" si="13"/>
        <v>27.777777777777779</v>
      </c>
      <c r="Q83">
        <f t="shared" si="9"/>
        <v>0.11200000000000188</v>
      </c>
    </row>
    <row r="84" spans="1:17" x14ac:dyDescent="0.35">
      <c r="A84">
        <f t="shared" si="12"/>
        <v>83</v>
      </c>
      <c r="B84">
        <v>30.57</v>
      </c>
      <c r="C84">
        <v>0</v>
      </c>
      <c r="G84">
        <v>1</v>
      </c>
      <c r="H84">
        <v>1</v>
      </c>
      <c r="I84">
        <f t="shared" si="8"/>
        <v>181</v>
      </c>
      <c r="J84">
        <f t="shared" si="10"/>
        <v>82</v>
      </c>
      <c r="K84">
        <f t="shared" si="11"/>
        <v>83</v>
      </c>
      <c r="L84">
        <v>10000</v>
      </c>
      <c r="M84">
        <v>0</v>
      </c>
      <c r="N84">
        <f t="shared" si="13"/>
        <v>27.777777777777779</v>
      </c>
      <c r="Q84">
        <f t="shared" si="9"/>
        <v>0.23799999999999955</v>
      </c>
    </row>
    <row r="85" spans="1:17" x14ac:dyDescent="0.35">
      <c r="A85">
        <f t="shared" si="12"/>
        <v>84</v>
      </c>
      <c r="B85">
        <v>30.893000000000001</v>
      </c>
      <c r="C85">
        <v>0</v>
      </c>
      <c r="G85">
        <v>1</v>
      </c>
      <c r="H85">
        <v>-1</v>
      </c>
      <c r="I85">
        <f t="shared" si="8"/>
        <v>182</v>
      </c>
      <c r="J85">
        <f t="shared" si="10"/>
        <v>83</v>
      </c>
      <c r="K85">
        <f t="shared" si="11"/>
        <v>84</v>
      </c>
      <c r="L85">
        <v>10000</v>
      </c>
      <c r="M85">
        <v>0</v>
      </c>
      <c r="N85">
        <f t="shared" si="13"/>
        <v>27.777777777777779</v>
      </c>
      <c r="Q85">
        <f t="shared" si="9"/>
        <v>0.3230000000000004</v>
      </c>
    </row>
    <row r="86" spans="1:17" x14ac:dyDescent="0.35">
      <c r="A86">
        <f t="shared" si="12"/>
        <v>85</v>
      </c>
      <c r="B86">
        <v>31.472000000000001</v>
      </c>
      <c r="C86">
        <v>0</v>
      </c>
      <c r="G86">
        <v>1</v>
      </c>
      <c r="H86">
        <v>1</v>
      </c>
      <c r="I86">
        <f t="shared" si="8"/>
        <v>183</v>
      </c>
      <c r="J86">
        <f t="shared" si="10"/>
        <v>84</v>
      </c>
      <c r="K86">
        <f t="shared" si="11"/>
        <v>85</v>
      </c>
      <c r="L86">
        <v>10000</v>
      </c>
      <c r="M86">
        <v>0</v>
      </c>
      <c r="N86">
        <f t="shared" si="13"/>
        <v>27.777777777777779</v>
      </c>
      <c r="Q86">
        <f t="shared" si="9"/>
        <v>0.57900000000000063</v>
      </c>
    </row>
    <row r="87" spans="1:17" x14ac:dyDescent="0.35">
      <c r="A87">
        <f t="shared" si="12"/>
        <v>86</v>
      </c>
      <c r="B87">
        <v>31.8</v>
      </c>
      <c r="C87">
        <v>0</v>
      </c>
      <c r="I87">
        <f t="shared" si="8"/>
        <v>184</v>
      </c>
      <c r="J87">
        <f t="shared" si="10"/>
        <v>85</v>
      </c>
      <c r="K87">
        <f t="shared" si="11"/>
        <v>86</v>
      </c>
      <c r="L87">
        <v>10000</v>
      </c>
      <c r="M87">
        <v>0</v>
      </c>
      <c r="N87">
        <f t="shared" si="13"/>
        <v>27.777777777777779</v>
      </c>
      <c r="Q87">
        <f t="shared" si="9"/>
        <v>0.3279999999999994</v>
      </c>
    </row>
    <row r="88" spans="1:17" x14ac:dyDescent="0.35">
      <c r="A88">
        <f t="shared" si="12"/>
        <v>87</v>
      </c>
      <c r="B88">
        <v>32.130000000000003</v>
      </c>
      <c r="C88">
        <v>0</v>
      </c>
      <c r="I88">
        <f t="shared" si="8"/>
        <v>185</v>
      </c>
      <c r="J88">
        <f t="shared" si="10"/>
        <v>86</v>
      </c>
      <c r="K88">
        <f t="shared" si="11"/>
        <v>87</v>
      </c>
      <c r="L88">
        <v>10000</v>
      </c>
      <c r="M88">
        <v>0</v>
      </c>
      <c r="N88">
        <f t="shared" si="13"/>
        <v>27.777777777777779</v>
      </c>
      <c r="Q88">
        <f t="shared" si="9"/>
        <v>0.33000000000000185</v>
      </c>
    </row>
    <row r="89" spans="1:17" x14ac:dyDescent="0.35">
      <c r="A89">
        <f t="shared" si="12"/>
        <v>88</v>
      </c>
      <c r="B89">
        <v>32.418999999999997</v>
      </c>
      <c r="C89">
        <v>0</v>
      </c>
      <c r="G89">
        <v>1</v>
      </c>
      <c r="H89">
        <v>-1</v>
      </c>
      <c r="I89">
        <f t="shared" ref="I89:I101" si="14">I88+1</f>
        <v>186</v>
      </c>
      <c r="J89">
        <f t="shared" ref="J89:J101" si="15">J88+1</f>
        <v>87</v>
      </c>
      <c r="K89">
        <f t="shared" ref="K89:K101" si="16">A89</f>
        <v>88</v>
      </c>
      <c r="L89">
        <v>10000</v>
      </c>
      <c r="M89">
        <v>0</v>
      </c>
      <c r="N89">
        <f t="shared" si="13"/>
        <v>27.777777777777779</v>
      </c>
      <c r="Q89">
        <f t="shared" si="9"/>
        <v>0.28899999999999437</v>
      </c>
    </row>
    <row r="90" spans="1:17" x14ac:dyDescent="0.35">
      <c r="A90">
        <f t="shared" si="12"/>
        <v>89</v>
      </c>
      <c r="B90" s="6">
        <v>32.713999999999999</v>
      </c>
      <c r="C90">
        <v>0</v>
      </c>
      <c r="F90">
        <v>1</v>
      </c>
      <c r="I90">
        <f t="shared" si="14"/>
        <v>187</v>
      </c>
      <c r="J90">
        <f t="shared" si="15"/>
        <v>88</v>
      </c>
      <c r="K90">
        <f t="shared" si="16"/>
        <v>89</v>
      </c>
      <c r="L90">
        <v>10000</v>
      </c>
      <c r="M90">
        <v>0</v>
      </c>
      <c r="N90">
        <f t="shared" si="13"/>
        <v>27.777777777777779</v>
      </c>
      <c r="Q90">
        <f t="shared" si="9"/>
        <v>0.29500000000000171</v>
      </c>
    </row>
    <row r="91" spans="1:17" x14ac:dyDescent="0.35">
      <c r="A91">
        <f t="shared" si="12"/>
        <v>90</v>
      </c>
      <c r="B91">
        <v>32.764000000000003</v>
      </c>
      <c r="C91">
        <v>0</v>
      </c>
      <c r="I91">
        <f t="shared" si="14"/>
        <v>188</v>
      </c>
      <c r="J91">
        <f t="shared" si="15"/>
        <v>89</v>
      </c>
      <c r="K91">
        <f t="shared" si="16"/>
        <v>90</v>
      </c>
      <c r="L91">
        <v>10000</v>
      </c>
      <c r="M91">
        <v>0</v>
      </c>
      <c r="N91">
        <f t="shared" si="13"/>
        <v>27.777777777777779</v>
      </c>
      <c r="Q91">
        <f t="shared" si="9"/>
        <v>5.0000000000004263E-2</v>
      </c>
    </row>
    <row r="92" spans="1:17" x14ac:dyDescent="0.35">
      <c r="A92">
        <f t="shared" si="12"/>
        <v>91</v>
      </c>
      <c r="B92">
        <v>32.816000000000003</v>
      </c>
      <c r="C92">
        <v>0</v>
      </c>
      <c r="G92">
        <v>1</v>
      </c>
      <c r="H92">
        <v>1</v>
      </c>
      <c r="I92">
        <f t="shared" si="14"/>
        <v>189</v>
      </c>
      <c r="J92">
        <f t="shared" si="15"/>
        <v>90</v>
      </c>
      <c r="K92">
        <f t="shared" si="16"/>
        <v>91</v>
      </c>
      <c r="L92">
        <v>10000</v>
      </c>
      <c r="M92">
        <v>0</v>
      </c>
      <c r="N92">
        <f t="shared" si="13"/>
        <v>27.777777777777779</v>
      </c>
      <c r="Q92">
        <f t="shared" si="9"/>
        <v>5.1999999999999602E-2</v>
      </c>
    </row>
    <row r="93" spans="1:17" x14ac:dyDescent="0.35">
      <c r="A93">
        <f t="shared" si="12"/>
        <v>92</v>
      </c>
      <c r="B93">
        <v>32.932000000000002</v>
      </c>
      <c r="C93">
        <v>0</v>
      </c>
      <c r="D93" t="s">
        <v>22</v>
      </c>
      <c r="I93">
        <f t="shared" si="14"/>
        <v>190</v>
      </c>
      <c r="J93">
        <f t="shared" si="15"/>
        <v>91</v>
      </c>
      <c r="K93">
        <f t="shared" si="16"/>
        <v>92</v>
      </c>
      <c r="L93">
        <v>10000</v>
      </c>
      <c r="M93">
        <v>0</v>
      </c>
      <c r="N93">
        <f t="shared" si="13"/>
        <v>27.777777777777779</v>
      </c>
      <c r="Q93">
        <f t="shared" si="9"/>
        <v>0.11599999999999966</v>
      </c>
    </row>
    <row r="94" spans="1:17" x14ac:dyDescent="0.35">
      <c r="A94">
        <f t="shared" si="12"/>
        <v>93</v>
      </c>
      <c r="B94">
        <v>33.047000000000004</v>
      </c>
      <c r="C94">
        <v>0</v>
      </c>
      <c r="G94">
        <v>1</v>
      </c>
      <c r="H94">
        <v>-1</v>
      </c>
      <c r="I94">
        <f t="shared" si="14"/>
        <v>191</v>
      </c>
      <c r="J94">
        <f t="shared" si="15"/>
        <v>92</v>
      </c>
      <c r="K94">
        <f t="shared" si="16"/>
        <v>93</v>
      </c>
      <c r="L94">
        <v>10000</v>
      </c>
      <c r="M94">
        <v>0</v>
      </c>
      <c r="N94">
        <f t="shared" si="13"/>
        <v>27.777777777777779</v>
      </c>
      <c r="Q94">
        <f t="shared" si="9"/>
        <v>0.11500000000000199</v>
      </c>
    </row>
    <row r="95" spans="1:17" x14ac:dyDescent="0.35">
      <c r="A95">
        <f t="shared" si="12"/>
        <v>94</v>
      </c>
      <c r="B95">
        <v>33.606000000000002</v>
      </c>
      <c r="C95">
        <v>0</v>
      </c>
      <c r="G95">
        <v>1</v>
      </c>
      <c r="H95">
        <v>1</v>
      </c>
      <c r="I95">
        <f t="shared" si="14"/>
        <v>192</v>
      </c>
      <c r="J95">
        <f t="shared" si="15"/>
        <v>93</v>
      </c>
      <c r="K95">
        <f t="shared" si="16"/>
        <v>94</v>
      </c>
      <c r="L95">
        <v>10000</v>
      </c>
      <c r="M95">
        <v>0</v>
      </c>
      <c r="N95">
        <f t="shared" si="13"/>
        <v>27.777777777777779</v>
      </c>
      <c r="Q95">
        <f t="shared" si="9"/>
        <v>0.5589999999999975</v>
      </c>
    </row>
    <row r="96" spans="1:17" x14ac:dyDescent="0.35">
      <c r="A96">
        <f t="shared" si="12"/>
        <v>95</v>
      </c>
      <c r="B96" s="1">
        <v>33.676000000000002</v>
      </c>
      <c r="C96">
        <v>0</v>
      </c>
      <c r="F96">
        <v>1</v>
      </c>
      <c r="I96">
        <f t="shared" si="14"/>
        <v>193</v>
      </c>
      <c r="J96">
        <f t="shared" si="15"/>
        <v>94</v>
      </c>
      <c r="K96">
        <f t="shared" si="16"/>
        <v>95</v>
      </c>
      <c r="L96">
        <v>10000</v>
      </c>
      <c r="M96">
        <v>0</v>
      </c>
      <c r="N96">
        <f t="shared" si="13"/>
        <v>27.777777777777779</v>
      </c>
      <c r="Q96">
        <f t="shared" si="9"/>
        <v>7.0000000000000284E-2</v>
      </c>
    </row>
    <row r="97" spans="1:17" x14ac:dyDescent="0.35">
      <c r="A97">
        <f t="shared" si="12"/>
        <v>96</v>
      </c>
      <c r="B97" s="1">
        <v>33.746000000000002</v>
      </c>
      <c r="C97">
        <v>0</v>
      </c>
      <c r="I97">
        <f t="shared" si="14"/>
        <v>194</v>
      </c>
      <c r="J97">
        <f t="shared" si="15"/>
        <v>95</v>
      </c>
      <c r="K97">
        <f t="shared" si="16"/>
        <v>96</v>
      </c>
      <c r="L97">
        <v>10000</v>
      </c>
      <c r="M97">
        <v>0</v>
      </c>
      <c r="N97">
        <f t="shared" si="13"/>
        <v>27.777777777777779</v>
      </c>
      <c r="Q97">
        <f t="shared" si="9"/>
        <v>7.0000000000000284E-2</v>
      </c>
    </row>
    <row r="98" spans="1:17" x14ac:dyDescent="0.35">
      <c r="A98">
        <f t="shared" si="12"/>
        <v>97</v>
      </c>
      <c r="B98" s="1">
        <v>33.76</v>
      </c>
      <c r="C98">
        <v>0</v>
      </c>
      <c r="G98">
        <v>1</v>
      </c>
      <c r="H98">
        <v>0</v>
      </c>
      <c r="I98">
        <f t="shared" si="14"/>
        <v>195</v>
      </c>
      <c r="J98">
        <f t="shared" si="15"/>
        <v>96</v>
      </c>
      <c r="K98">
        <f t="shared" si="16"/>
        <v>97</v>
      </c>
      <c r="L98">
        <v>10000</v>
      </c>
      <c r="M98">
        <v>0</v>
      </c>
      <c r="N98">
        <f t="shared" si="13"/>
        <v>27.777777777777779</v>
      </c>
      <c r="Q98">
        <f t="shared" si="9"/>
        <v>1.3999999999995794E-2</v>
      </c>
    </row>
    <row r="99" spans="1:17" x14ac:dyDescent="0.35">
      <c r="A99">
        <f t="shared" si="12"/>
        <v>98</v>
      </c>
      <c r="B99" s="1">
        <v>33.79</v>
      </c>
      <c r="C99">
        <v>0</v>
      </c>
      <c r="F99">
        <v>1</v>
      </c>
      <c r="I99">
        <f t="shared" si="14"/>
        <v>196</v>
      </c>
      <c r="J99">
        <f t="shared" si="15"/>
        <v>97</v>
      </c>
      <c r="K99">
        <f t="shared" si="16"/>
        <v>98</v>
      </c>
      <c r="L99">
        <v>10000</v>
      </c>
      <c r="M99">
        <v>0</v>
      </c>
      <c r="N99">
        <f t="shared" si="13"/>
        <v>27.777777777777779</v>
      </c>
      <c r="Q99">
        <f t="shared" si="9"/>
        <v>3.0000000000001137E-2</v>
      </c>
    </row>
    <row r="100" spans="1:17" x14ac:dyDescent="0.35">
      <c r="A100">
        <f t="shared" si="12"/>
        <v>99</v>
      </c>
      <c r="B100" s="1">
        <v>33.814999999999998</v>
      </c>
      <c r="C100">
        <v>0</v>
      </c>
      <c r="I100">
        <f t="shared" si="14"/>
        <v>197</v>
      </c>
      <c r="J100">
        <f t="shared" si="15"/>
        <v>98</v>
      </c>
      <c r="K100">
        <f t="shared" si="16"/>
        <v>99</v>
      </c>
      <c r="L100">
        <v>10000</v>
      </c>
      <c r="M100">
        <v>0</v>
      </c>
      <c r="N100">
        <f t="shared" si="13"/>
        <v>27.777777777777779</v>
      </c>
      <c r="Q100">
        <f t="shared" si="9"/>
        <v>2.4999999999998579E-2</v>
      </c>
    </row>
    <row r="101" spans="1:17" x14ac:dyDescent="0.35">
      <c r="A101">
        <f t="shared" si="12"/>
        <v>100</v>
      </c>
      <c r="B101">
        <v>33.885000000000005</v>
      </c>
      <c r="C101">
        <v>0</v>
      </c>
      <c r="G101">
        <v>1</v>
      </c>
      <c r="H101">
        <v>0</v>
      </c>
      <c r="I101">
        <f t="shared" si="14"/>
        <v>198</v>
      </c>
      <c r="J101">
        <f t="shared" si="15"/>
        <v>99</v>
      </c>
      <c r="K101">
        <f t="shared" si="16"/>
        <v>100</v>
      </c>
      <c r="L101">
        <v>10000</v>
      </c>
      <c r="M101">
        <v>0</v>
      </c>
      <c r="N101">
        <f t="shared" si="13"/>
        <v>27.777777777777779</v>
      </c>
      <c r="Q101">
        <f t="shared" si="9"/>
        <v>7.000000000000739E-2</v>
      </c>
    </row>
  </sheetData>
  <autoFilter ref="A1:N101" xr:uid="{3CD4FB71-D916-4545-B27D-E03C235C73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4E68-C380-4B3D-A60C-D4F1FB9F5A9E}">
  <dimension ref="A1:Q129"/>
  <sheetViews>
    <sheetView topLeftCell="A104" zoomScale="55" zoomScaleNormal="55" workbookViewId="0">
      <selection activeCell="I3" sqref="I3:N129"/>
    </sheetView>
  </sheetViews>
  <sheetFormatPr defaultRowHeight="14.5" x14ac:dyDescent="0.35"/>
  <cols>
    <col min="5" max="5" width="14.90625" bestFit="1" customWidth="1"/>
    <col min="8" max="8" width="13.54296875" bestFit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24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Q1" t="s">
        <v>12</v>
      </c>
    </row>
    <row r="2" spans="1:17" x14ac:dyDescent="0.35">
      <c r="A2">
        <v>1</v>
      </c>
      <c r="B2">
        <v>9.6359999999999992</v>
      </c>
      <c r="C2">
        <v>0</v>
      </c>
      <c r="G2">
        <v>1</v>
      </c>
      <c r="H2">
        <v>0</v>
      </c>
    </row>
    <row r="3" spans="1:17" x14ac:dyDescent="0.35">
      <c r="A3">
        <f>A2+1</f>
        <v>2</v>
      </c>
      <c r="B3">
        <v>9.9600000000000009</v>
      </c>
      <c r="C3">
        <v>0</v>
      </c>
      <c r="I3">
        <v>100</v>
      </c>
      <c r="J3">
        <v>1</v>
      </c>
      <c r="K3">
        <f t="shared" ref="K3:K6" si="0">A3</f>
        <v>2</v>
      </c>
      <c r="L3">
        <v>10000</v>
      </c>
      <c r="M3">
        <v>0</v>
      </c>
      <c r="N3">
        <f>160/3.6</f>
        <v>44.444444444444443</v>
      </c>
      <c r="Q3">
        <f t="shared" ref="Q3:Q37" si="1">B3-B2</f>
        <v>0.32400000000000162</v>
      </c>
    </row>
    <row r="4" spans="1:17" x14ac:dyDescent="0.35">
      <c r="A4">
        <f t="shared" ref="A4:A72" si="2">A3+1</f>
        <v>3</v>
      </c>
      <c r="B4">
        <v>10.156000000000001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si="0"/>
        <v>3</v>
      </c>
      <c r="L4">
        <v>10000</v>
      </c>
      <c r="M4">
        <v>0</v>
      </c>
      <c r="N4">
        <f t="shared" ref="N4:N26" si="3">160/3.6</f>
        <v>44.444444444444443</v>
      </c>
      <c r="Q4">
        <f t="shared" si="1"/>
        <v>0.19599999999999973</v>
      </c>
    </row>
    <row r="5" spans="1:17" x14ac:dyDescent="0.35">
      <c r="A5">
        <f t="shared" si="2"/>
        <v>4</v>
      </c>
      <c r="B5">
        <v>10.694000000000001</v>
      </c>
      <c r="C5">
        <v>0</v>
      </c>
      <c r="I5">
        <f t="shared" ref="I5:I73" si="4">I4+1</f>
        <v>102</v>
      </c>
      <c r="J5">
        <v>3</v>
      </c>
      <c r="K5">
        <f t="shared" si="0"/>
        <v>4</v>
      </c>
      <c r="L5">
        <v>10000</v>
      </c>
      <c r="M5">
        <v>0</v>
      </c>
      <c r="N5">
        <f t="shared" si="3"/>
        <v>44.444444444444443</v>
      </c>
      <c r="Q5">
        <f t="shared" si="1"/>
        <v>0.53800000000000026</v>
      </c>
    </row>
    <row r="6" spans="1:17" x14ac:dyDescent="0.35">
      <c r="A6">
        <f t="shared" si="2"/>
        <v>5</v>
      </c>
      <c r="B6">
        <v>10.987</v>
      </c>
      <c r="C6">
        <v>0</v>
      </c>
      <c r="G6">
        <v>1</v>
      </c>
      <c r="H6">
        <v>1</v>
      </c>
      <c r="I6">
        <f t="shared" si="4"/>
        <v>103</v>
      </c>
      <c r="J6">
        <v>4</v>
      </c>
      <c r="K6">
        <f t="shared" si="0"/>
        <v>5</v>
      </c>
      <c r="L6">
        <v>10000</v>
      </c>
      <c r="M6">
        <v>0</v>
      </c>
      <c r="N6">
        <f t="shared" si="3"/>
        <v>44.444444444444443</v>
      </c>
      <c r="Q6">
        <f t="shared" si="1"/>
        <v>0.29299999999999926</v>
      </c>
    </row>
    <row r="7" spans="1:17" x14ac:dyDescent="0.35">
      <c r="A7">
        <f t="shared" si="2"/>
        <v>6</v>
      </c>
      <c r="B7">
        <v>11.14</v>
      </c>
      <c r="C7">
        <v>0</v>
      </c>
      <c r="I7">
        <f t="shared" si="4"/>
        <v>104</v>
      </c>
      <c r="J7">
        <v>5</v>
      </c>
      <c r="K7">
        <f t="shared" ref="K7:K10" si="5">A7</f>
        <v>6</v>
      </c>
      <c r="L7">
        <v>10000</v>
      </c>
      <c r="M7">
        <v>0</v>
      </c>
      <c r="N7">
        <f t="shared" si="3"/>
        <v>44.444444444444443</v>
      </c>
      <c r="Q7">
        <f t="shared" si="1"/>
        <v>0.15300000000000047</v>
      </c>
    </row>
    <row r="8" spans="1:17" x14ac:dyDescent="0.35">
      <c r="A8">
        <f t="shared" si="2"/>
        <v>7</v>
      </c>
      <c r="B8">
        <v>11.24</v>
      </c>
      <c r="C8">
        <v>0</v>
      </c>
      <c r="I8">
        <f t="shared" si="4"/>
        <v>105</v>
      </c>
      <c r="J8">
        <v>6</v>
      </c>
      <c r="K8">
        <f t="shared" si="5"/>
        <v>7</v>
      </c>
      <c r="L8">
        <v>10000</v>
      </c>
      <c r="M8">
        <v>0</v>
      </c>
      <c r="N8">
        <f t="shared" si="3"/>
        <v>44.444444444444443</v>
      </c>
      <c r="Q8">
        <f t="shared" si="1"/>
        <v>9.9999999999999645E-2</v>
      </c>
    </row>
    <row r="9" spans="1:17" x14ac:dyDescent="0.35">
      <c r="A9">
        <f t="shared" si="2"/>
        <v>8</v>
      </c>
      <c r="B9">
        <v>11.34</v>
      </c>
      <c r="C9">
        <v>0</v>
      </c>
      <c r="I9">
        <f t="shared" si="4"/>
        <v>106</v>
      </c>
      <c r="J9">
        <v>7</v>
      </c>
      <c r="K9">
        <f t="shared" si="5"/>
        <v>8</v>
      </c>
      <c r="L9">
        <v>10000</v>
      </c>
      <c r="M9">
        <v>0</v>
      </c>
      <c r="N9">
        <f t="shared" si="3"/>
        <v>44.444444444444443</v>
      </c>
      <c r="Q9">
        <f t="shared" si="1"/>
        <v>9.9999999999999645E-2</v>
      </c>
    </row>
    <row r="10" spans="1:17" x14ac:dyDescent="0.35">
      <c r="A10">
        <f t="shared" si="2"/>
        <v>9</v>
      </c>
      <c r="B10">
        <v>11.42</v>
      </c>
      <c r="C10">
        <v>0</v>
      </c>
      <c r="F10">
        <v>1</v>
      </c>
      <c r="I10">
        <f t="shared" si="4"/>
        <v>107</v>
      </c>
      <c r="J10">
        <v>8</v>
      </c>
      <c r="K10">
        <f t="shared" si="5"/>
        <v>9</v>
      </c>
      <c r="L10">
        <v>10000</v>
      </c>
      <c r="M10">
        <v>0</v>
      </c>
      <c r="N10">
        <f t="shared" si="3"/>
        <v>44.444444444444443</v>
      </c>
      <c r="Q10">
        <f t="shared" si="1"/>
        <v>8.0000000000000071E-2</v>
      </c>
    </row>
    <row r="11" spans="1:17" x14ac:dyDescent="0.35">
      <c r="A11">
        <f t="shared" si="2"/>
        <v>10</v>
      </c>
      <c r="B11">
        <v>11.5</v>
      </c>
      <c r="C11">
        <v>0</v>
      </c>
      <c r="F11">
        <v>1</v>
      </c>
      <c r="I11">
        <f t="shared" si="4"/>
        <v>108</v>
      </c>
      <c r="J11">
        <v>9</v>
      </c>
      <c r="K11">
        <f t="shared" ref="K11:K74" si="6">A11</f>
        <v>10</v>
      </c>
      <c r="L11">
        <v>10000</v>
      </c>
      <c r="M11">
        <v>0</v>
      </c>
      <c r="N11">
        <f t="shared" si="3"/>
        <v>44.444444444444443</v>
      </c>
      <c r="Q11">
        <f t="shared" si="1"/>
        <v>8.0000000000000071E-2</v>
      </c>
    </row>
    <row r="12" spans="1:17" x14ac:dyDescent="0.35">
      <c r="A12">
        <f t="shared" si="2"/>
        <v>11</v>
      </c>
      <c r="B12">
        <v>11.59</v>
      </c>
      <c r="C12">
        <v>0</v>
      </c>
      <c r="I12">
        <f t="shared" si="4"/>
        <v>109</v>
      </c>
      <c r="J12">
        <v>10</v>
      </c>
      <c r="K12">
        <f t="shared" si="6"/>
        <v>11</v>
      </c>
      <c r="L12">
        <v>10000</v>
      </c>
      <c r="M12">
        <v>0</v>
      </c>
      <c r="N12">
        <f t="shared" si="3"/>
        <v>44.444444444444443</v>
      </c>
      <c r="Q12">
        <f t="shared" si="1"/>
        <v>8.9999999999999858E-2</v>
      </c>
    </row>
    <row r="13" spans="1:17" x14ac:dyDescent="0.35">
      <c r="A13">
        <f t="shared" si="2"/>
        <v>12</v>
      </c>
      <c r="B13">
        <v>11.676</v>
      </c>
      <c r="C13">
        <v>0</v>
      </c>
      <c r="G13">
        <v>1</v>
      </c>
      <c r="H13">
        <v>-1</v>
      </c>
      <c r="I13">
        <f t="shared" si="4"/>
        <v>110</v>
      </c>
      <c r="J13">
        <v>11</v>
      </c>
      <c r="K13">
        <f t="shared" si="6"/>
        <v>12</v>
      </c>
      <c r="L13">
        <v>10000</v>
      </c>
      <c r="M13">
        <v>0</v>
      </c>
      <c r="N13">
        <f t="shared" si="3"/>
        <v>44.444444444444443</v>
      </c>
      <c r="Q13">
        <f t="shared" si="1"/>
        <v>8.6000000000000298E-2</v>
      </c>
    </row>
    <row r="14" spans="1:17" x14ac:dyDescent="0.35">
      <c r="A14">
        <f t="shared" si="2"/>
        <v>13</v>
      </c>
      <c r="B14">
        <v>11.846</v>
      </c>
      <c r="C14">
        <v>0</v>
      </c>
      <c r="I14">
        <f t="shared" si="4"/>
        <v>111</v>
      </c>
      <c r="J14">
        <v>12</v>
      </c>
      <c r="K14">
        <f t="shared" si="6"/>
        <v>13</v>
      </c>
      <c r="L14">
        <v>10000</v>
      </c>
      <c r="M14">
        <v>0</v>
      </c>
      <c r="N14">
        <f t="shared" si="3"/>
        <v>44.444444444444443</v>
      </c>
      <c r="Q14">
        <f t="shared" si="1"/>
        <v>0.16999999999999993</v>
      </c>
    </row>
    <row r="15" spans="1:17" x14ac:dyDescent="0.35">
      <c r="A15">
        <f t="shared" si="2"/>
        <v>14</v>
      </c>
      <c r="B15">
        <v>11.898</v>
      </c>
      <c r="C15">
        <v>0</v>
      </c>
      <c r="I15">
        <f t="shared" si="4"/>
        <v>112</v>
      </c>
      <c r="J15">
        <v>13</v>
      </c>
      <c r="K15">
        <f t="shared" si="6"/>
        <v>14</v>
      </c>
      <c r="L15">
        <v>10000</v>
      </c>
      <c r="M15">
        <v>0</v>
      </c>
      <c r="N15">
        <f t="shared" si="3"/>
        <v>44.444444444444443</v>
      </c>
      <c r="Q15">
        <f t="shared" si="1"/>
        <v>5.1999999999999602E-2</v>
      </c>
    </row>
    <row r="16" spans="1:17" x14ac:dyDescent="0.35">
      <c r="A16">
        <f t="shared" si="2"/>
        <v>15</v>
      </c>
      <c r="B16">
        <v>12.151999999999999</v>
      </c>
      <c r="C16">
        <v>0</v>
      </c>
      <c r="I16">
        <f t="shared" si="4"/>
        <v>113</v>
      </c>
      <c r="J16">
        <v>14</v>
      </c>
      <c r="K16">
        <f t="shared" si="6"/>
        <v>15</v>
      </c>
      <c r="L16">
        <v>10000</v>
      </c>
      <c r="M16">
        <v>0</v>
      </c>
      <c r="N16">
        <f t="shared" si="3"/>
        <v>44.444444444444443</v>
      </c>
      <c r="Q16">
        <f t="shared" si="1"/>
        <v>0.25399999999999956</v>
      </c>
    </row>
    <row r="17" spans="1:17" x14ac:dyDescent="0.35">
      <c r="A17">
        <f t="shared" si="2"/>
        <v>16</v>
      </c>
      <c r="B17">
        <v>12.31</v>
      </c>
      <c r="C17">
        <v>0</v>
      </c>
      <c r="D17" t="s">
        <v>14</v>
      </c>
      <c r="I17">
        <f t="shared" si="4"/>
        <v>114</v>
      </c>
      <c r="J17">
        <v>15</v>
      </c>
      <c r="K17">
        <f t="shared" si="6"/>
        <v>16</v>
      </c>
      <c r="L17">
        <v>10000</v>
      </c>
      <c r="M17">
        <v>0</v>
      </c>
      <c r="N17">
        <f t="shared" si="3"/>
        <v>44.444444444444443</v>
      </c>
      <c r="Q17">
        <f t="shared" si="1"/>
        <v>0.15800000000000125</v>
      </c>
    </row>
    <row r="18" spans="1:17" x14ac:dyDescent="0.35">
      <c r="A18">
        <f t="shared" si="2"/>
        <v>17</v>
      </c>
      <c r="B18">
        <v>12.542999999999999</v>
      </c>
      <c r="C18">
        <v>0</v>
      </c>
      <c r="G18">
        <v>1</v>
      </c>
      <c r="H18">
        <v>1</v>
      </c>
      <c r="I18">
        <f t="shared" si="4"/>
        <v>115</v>
      </c>
      <c r="J18">
        <v>16</v>
      </c>
      <c r="K18">
        <f t="shared" si="6"/>
        <v>17</v>
      </c>
      <c r="L18">
        <v>10000</v>
      </c>
      <c r="M18">
        <v>0</v>
      </c>
      <c r="N18">
        <f t="shared" si="3"/>
        <v>44.444444444444443</v>
      </c>
      <c r="Q18">
        <f t="shared" si="1"/>
        <v>0.23299999999999876</v>
      </c>
    </row>
    <row r="19" spans="1:17" x14ac:dyDescent="0.35">
      <c r="A19">
        <f t="shared" si="2"/>
        <v>18</v>
      </c>
      <c r="B19">
        <v>12.749000000000001</v>
      </c>
      <c r="C19">
        <v>0</v>
      </c>
      <c r="I19">
        <f t="shared" si="4"/>
        <v>116</v>
      </c>
      <c r="J19">
        <v>17</v>
      </c>
      <c r="K19">
        <f t="shared" si="6"/>
        <v>18</v>
      </c>
      <c r="L19">
        <v>10000</v>
      </c>
      <c r="M19">
        <v>0</v>
      </c>
      <c r="N19">
        <f t="shared" si="3"/>
        <v>44.444444444444443</v>
      </c>
      <c r="Q19">
        <f t="shared" si="1"/>
        <v>0.20600000000000129</v>
      </c>
    </row>
    <row r="20" spans="1:17" x14ac:dyDescent="0.35">
      <c r="A20">
        <f t="shared" si="2"/>
        <v>19</v>
      </c>
      <c r="B20">
        <v>12.92</v>
      </c>
      <c r="C20">
        <v>0</v>
      </c>
      <c r="I20">
        <f t="shared" si="4"/>
        <v>117</v>
      </c>
      <c r="J20">
        <v>18</v>
      </c>
      <c r="K20">
        <f t="shared" si="6"/>
        <v>19</v>
      </c>
      <c r="L20">
        <v>10000</v>
      </c>
      <c r="M20">
        <v>0</v>
      </c>
      <c r="N20">
        <f t="shared" si="3"/>
        <v>44.444444444444443</v>
      </c>
      <c r="Q20">
        <f t="shared" si="1"/>
        <v>0.17099999999999937</v>
      </c>
    </row>
    <row r="21" spans="1:17" x14ac:dyDescent="0.35">
      <c r="A21">
        <f t="shared" si="2"/>
        <v>20</v>
      </c>
      <c r="B21">
        <v>12.98</v>
      </c>
      <c r="C21">
        <v>0</v>
      </c>
      <c r="F21">
        <v>1</v>
      </c>
      <c r="I21">
        <f t="shared" si="4"/>
        <v>118</v>
      </c>
      <c r="J21">
        <v>19</v>
      </c>
      <c r="K21">
        <f t="shared" si="6"/>
        <v>20</v>
      </c>
      <c r="L21">
        <v>10000</v>
      </c>
      <c r="M21">
        <v>0</v>
      </c>
      <c r="N21">
        <f t="shared" si="3"/>
        <v>44.444444444444443</v>
      </c>
      <c r="Q21">
        <f t="shared" si="1"/>
        <v>6.0000000000000497E-2</v>
      </c>
    </row>
    <row r="22" spans="1:17" x14ac:dyDescent="0.35">
      <c r="A22">
        <f t="shared" si="2"/>
        <v>21</v>
      </c>
      <c r="B22">
        <v>13.06</v>
      </c>
      <c r="C22">
        <v>0</v>
      </c>
      <c r="I22">
        <f t="shared" si="4"/>
        <v>119</v>
      </c>
      <c r="J22">
        <v>20</v>
      </c>
      <c r="K22">
        <f t="shared" si="6"/>
        <v>21</v>
      </c>
      <c r="L22">
        <v>10000</v>
      </c>
      <c r="M22">
        <v>0</v>
      </c>
      <c r="N22">
        <f t="shared" si="3"/>
        <v>44.444444444444443</v>
      </c>
      <c r="Q22">
        <f t="shared" si="1"/>
        <v>8.0000000000000071E-2</v>
      </c>
    </row>
    <row r="23" spans="1:17" x14ac:dyDescent="0.35">
      <c r="A23">
        <f t="shared" si="2"/>
        <v>22</v>
      </c>
      <c r="B23">
        <v>13.14</v>
      </c>
      <c r="C23">
        <v>0</v>
      </c>
      <c r="I23">
        <f t="shared" si="4"/>
        <v>120</v>
      </c>
      <c r="J23">
        <v>21</v>
      </c>
      <c r="K23">
        <f t="shared" si="6"/>
        <v>22</v>
      </c>
      <c r="L23">
        <v>10000</v>
      </c>
      <c r="M23">
        <v>0</v>
      </c>
      <c r="N23">
        <f t="shared" si="3"/>
        <v>44.444444444444443</v>
      </c>
      <c r="Q23">
        <f t="shared" si="1"/>
        <v>8.0000000000000071E-2</v>
      </c>
    </row>
    <row r="24" spans="1:17" x14ac:dyDescent="0.35">
      <c r="A24">
        <f t="shared" si="2"/>
        <v>23</v>
      </c>
      <c r="B24">
        <v>13.22</v>
      </c>
      <c r="C24">
        <v>0</v>
      </c>
      <c r="I24">
        <f t="shared" si="4"/>
        <v>121</v>
      </c>
      <c r="J24">
        <v>22</v>
      </c>
      <c r="K24">
        <f t="shared" si="6"/>
        <v>23</v>
      </c>
      <c r="L24">
        <v>10000</v>
      </c>
      <c r="M24">
        <v>0</v>
      </c>
      <c r="N24">
        <f t="shared" si="3"/>
        <v>44.444444444444443</v>
      </c>
      <c r="Q24">
        <f t="shared" si="1"/>
        <v>8.0000000000000071E-2</v>
      </c>
    </row>
    <row r="25" spans="1:17" x14ac:dyDescent="0.35">
      <c r="A25">
        <f t="shared" si="2"/>
        <v>24</v>
      </c>
      <c r="B25">
        <v>13.67</v>
      </c>
      <c r="C25">
        <v>0</v>
      </c>
      <c r="G25">
        <v>1</v>
      </c>
      <c r="H25">
        <v>-1</v>
      </c>
      <c r="I25">
        <f t="shared" si="4"/>
        <v>122</v>
      </c>
      <c r="J25">
        <v>23</v>
      </c>
      <c r="K25">
        <f t="shared" si="6"/>
        <v>24</v>
      </c>
      <c r="L25">
        <v>10000</v>
      </c>
      <c r="M25">
        <v>0</v>
      </c>
      <c r="N25">
        <f t="shared" si="3"/>
        <v>44.444444444444443</v>
      </c>
      <c r="Q25">
        <f t="shared" si="1"/>
        <v>0.44999999999999929</v>
      </c>
    </row>
    <row r="26" spans="1:17" x14ac:dyDescent="0.35">
      <c r="A26">
        <f t="shared" si="2"/>
        <v>25</v>
      </c>
      <c r="B26">
        <v>14.081</v>
      </c>
      <c r="C26">
        <v>0</v>
      </c>
      <c r="G26">
        <v>1</v>
      </c>
      <c r="H26">
        <v>1</v>
      </c>
      <c r="I26">
        <f t="shared" si="4"/>
        <v>123</v>
      </c>
      <c r="J26">
        <v>24</v>
      </c>
      <c r="K26">
        <f t="shared" si="6"/>
        <v>25</v>
      </c>
      <c r="L26">
        <v>10000</v>
      </c>
      <c r="M26">
        <v>0</v>
      </c>
      <c r="N26">
        <f t="shared" si="3"/>
        <v>44.444444444444443</v>
      </c>
      <c r="Q26">
        <f t="shared" si="1"/>
        <v>0.41099999999999959</v>
      </c>
    </row>
    <row r="27" spans="1:17" x14ac:dyDescent="0.35">
      <c r="A27">
        <f t="shared" si="2"/>
        <v>26</v>
      </c>
      <c r="B27">
        <v>15.035</v>
      </c>
      <c r="C27">
        <v>0</v>
      </c>
      <c r="G27">
        <v>1</v>
      </c>
      <c r="H27">
        <v>-1</v>
      </c>
      <c r="I27">
        <f t="shared" si="4"/>
        <v>124</v>
      </c>
      <c r="J27">
        <v>25</v>
      </c>
      <c r="K27">
        <f t="shared" si="6"/>
        <v>26</v>
      </c>
      <c r="L27">
        <v>10000</v>
      </c>
      <c r="M27">
        <v>0</v>
      </c>
      <c r="N27">
        <f>140/3.6</f>
        <v>38.888888888888886</v>
      </c>
      <c r="Q27">
        <f t="shared" si="1"/>
        <v>0.95400000000000063</v>
      </c>
    </row>
    <row r="28" spans="1:17" x14ac:dyDescent="0.35">
      <c r="A28">
        <f t="shared" si="2"/>
        <v>27</v>
      </c>
      <c r="B28">
        <v>15.506</v>
      </c>
      <c r="C28">
        <v>0</v>
      </c>
      <c r="G28">
        <v>1</v>
      </c>
      <c r="H28">
        <v>1</v>
      </c>
      <c r="I28">
        <f t="shared" si="4"/>
        <v>125</v>
      </c>
      <c r="J28">
        <v>26</v>
      </c>
      <c r="K28">
        <f t="shared" si="6"/>
        <v>27</v>
      </c>
      <c r="L28">
        <v>10000</v>
      </c>
      <c r="M28">
        <v>0</v>
      </c>
      <c r="N28">
        <f t="shared" ref="N28:N53" si="7">140/3.6</f>
        <v>38.888888888888886</v>
      </c>
      <c r="Q28">
        <f t="shared" si="1"/>
        <v>0.47100000000000009</v>
      </c>
    </row>
    <row r="29" spans="1:17" x14ac:dyDescent="0.35">
      <c r="A29">
        <f t="shared" si="2"/>
        <v>28</v>
      </c>
      <c r="B29">
        <v>16.484000000000002</v>
      </c>
      <c r="C29">
        <v>0</v>
      </c>
      <c r="G29">
        <v>1</v>
      </c>
      <c r="H29">
        <v>-1</v>
      </c>
      <c r="I29">
        <f t="shared" si="4"/>
        <v>126</v>
      </c>
      <c r="J29">
        <v>27</v>
      </c>
      <c r="K29">
        <f t="shared" si="6"/>
        <v>28</v>
      </c>
      <c r="L29">
        <v>10000</v>
      </c>
      <c r="M29">
        <v>0</v>
      </c>
      <c r="N29">
        <f t="shared" si="7"/>
        <v>38.888888888888886</v>
      </c>
      <c r="Q29">
        <f t="shared" si="1"/>
        <v>0.97800000000000153</v>
      </c>
    </row>
    <row r="30" spans="1:17" x14ac:dyDescent="0.35">
      <c r="A30">
        <f t="shared" si="2"/>
        <v>29</v>
      </c>
      <c r="B30">
        <v>17.010000000000002</v>
      </c>
      <c r="C30">
        <v>0</v>
      </c>
      <c r="G30">
        <v>1</v>
      </c>
      <c r="H30">
        <v>1</v>
      </c>
      <c r="I30">
        <f t="shared" si="4"/>
        <v>127</v>
      </c>
      <c r="J30">
        <v>28</v>
      </c>
      <c r="K30">
        <f t="shared" si="6"/>
        <v>29</v>
      </c>
      <c r="L30">
        <v>10000</v>
      </c>
      <c r="M30">
        <v>0</v>
      </c>
      <c r="N30">
        <f t="shared" si="7"/>
        <v>38.888888888888886</v>
      </c>
      <c r="Q30">
        <f t="shared" si="1"/>
        <v>0.5259999999999998</v>
      </c>
    </row>
    <row r="31" spans="1:17" x14ac:dyDescent="0.35">
      <c r="A31">
        <f t="shared" si="2"/>
        <v>30</v>
      </c>
      <c r="B31">
        <v>17.21</v>
      </c>
      <c r="C31">
        <v>0</v>
      </c>
      <c r="F31">
        <v>1</v>
      </c>
      <c r="I31">
        <f t="shared" si="4"/>
        <v>128</v>
      </c>
      <c r="J31">
        <v>29</v>
      </c>
      <c r="K31">
        <f t="shared" si="6"/>
        <v>30</v>
      </c>
      <c r="L31">
        <v>10000</v>
      </c>
      <c r="M31">
        <v>0</v>
      </c>
      <c r="N31">
        <f t="shared" si="7"/>
        <v>38.888888888888886</v>
      </c>
      <c r="Q31">
        <f t="shared" si="1"/>
        <v>0.19999999999999929</v>
      </c>
    </row>
    <row r="32" spans="1:17" x14ac:dyDescent="0.35">
      <c r="A32">
        <f t="shared" si="2"/>
        <v>31</v>
      </c>
      <c r="B32">
        <v>17.29</v>
      </c>
      <c r="C32">
        <v>0</v>
      </c>
      <c r="I32">
        <f t="shared" si="4"/>
        <v>129</v>
      </c>
      <c r="J32">
        <v>30</v>
      </c>
      <c r="K32">
        <f t="shared" si="6"/>
        <v>31</v>
      </c>
      <c r="L32">
        <v>10000</v>
      </c>
      <c r="M32">
        <v>0</v>
      </c>
      <c r="N32">
        <f t="shared" si="7"/>
        <v>38.888888888888886</v>
      </c>
      <c r="Q32">
        <f t="shared" si="1"/>
        <v>7.9999999999998295E-2</v>
      </c>
    </row>
    <row r="33" spans="1:17" x14ac:dyDescent="0.35">
      <c r="A33">
        <f t="shared" si="2"/>
        <v>32</v>
      </c>
      <c r="B33">
        <v>17.452999999999999</v>
      </c>
      <c r="C33">
        <v>0</v>
      </c>
      <c r="I33">
        <f t="shared" si="4"/>
        <v>130</v>
      </c>
      <c r="J33">
        <v>31</v>
      </c>
      <c r="K33">
        <f t="shared" si="6"/>
        <v>32</v>
      </c>
      <c r="L33">
        <v>10000</v>
      </c>
      <c r="M33">
        <v>0</v>
      </c>
      <c r="N33">
        <f t="shared" si="7"/>
        <v>38.888888888888886</v>
      </c>
      <c r="Q33">
        <f t="shared" si="1"/>
        <v>0.16300000000000026</v>
      </c>
    </row>
    <row r="34" spans="1:17" x14ac:dyDescent="0.35">
      <c r="A34">
        <f t="shared" si="2"/>
        <v>33</v>
      </c>
      <c r="B34">
        <v>18.033000000000001</v>
      </c>
      <c r="C34">
        <v>0</v>
      </c>
      <c r="G34">
        <v>1</v>
      </c>
      <c r="H34">
        <v>-1</v>
      </c>
      <c r="I34">
        <f t="shared" si="4"/>
        <v>131</v>
      </c>
      <c r="J34">
        <v>32</v>
      </c>
      <c r="K34">
        <f t="shared" si="6"/>
        <v>33</v>
      </c>
      <c r="L34">
        <v>10000</v>
      </c>
      <c r="M34">
        <v>0</v>
      </c>
      <c r="N34">
        <f t="shared" si="7"/>
        <v>38.888888888888886</v>
      </c>
      <c r="Q34">
        <f t="shared" si="1"/>
        <v>0.58000000000000185</v>
      </c>
    </row>
    <row r="35" spans="1:17" x14ac:dyDescent="0.35">
      <c r="A35">
        <f t="shared" si="2"/>
        <v>34</v>
      </c>
      <c r="B35">
        <v>18.646999999999998</v>
      </c>
      <c r="C35">
        <v>0</v>
      </c>
      <c r="I35">
        <f t="shared" si="4"/>
        <v>132</v>
      </c>
      <c r="J35">
        <v>33</v>
      </c>
      <c r="K35">
        <f t="shared" si="6"/>
        <v>34</v>
      </c>
      <c r="L35">
        <v>10000</v>
      </c>
      <c r="M35">
        <v>0</v>
      </c>
      <c r="N35">
        <f t="shared" si="7"/>
        <v>38.888888888888886</v>
      </c>
      <c r="Q35">
        <f t="shared" si="1"/>
        <v>0.61399999999999721</v>
      </c>
    </row>
    <row r="36" spans="1:17" x14ac:dyDescent="0.35">
      <c r="A36">
        <f t="shared" si="2"/>
        <v>35</v>
      </c>
      <c r="B36">
        <v>18.75</v>
      </c>
      <c r="C36">
        <v>0</v>
      </c>
      <c r="D36" t="s">
        <v>15</v>
      </c>
      <c r="I36">
        <f t="shared" si="4"/>
        <v>133</v>
      </c>
      <c r="J36">
        <v>34</v>
      </c>
      <c r="K36">
        <f t="shared" si="6"/>
        <v>35</v>
      </c>
      <c r="L36">
        <v>10000</v>
      </c>
      <c r="M36">
        <v>0</v>
      </c>
      <c r="N36">
        <f t="shared" si="7"/>
        <v>38.888888888888886</v>
      </c>
      <c r="Q36">
        <f t="shared" si="1"/>
        <v>0.10300000000000153</v>
      </c>
    </row>
    <row r="37" spans="1:17" x14ac:dyDescent="0.35">
      <c r="A37">
        <f t="shared" si="2"/>
        <v>36</v>
      </c>
      <c r="B37">
        <v>18.823</v>
      </c>
      <c r="C37">
        <v>0</v>
      </c>
      <c r="G37">
        <v>1</v>
      </c>
      <c r="H37">
        <v>1</v>
      </c>
      <c r="I37">
        <f t="shared" si="4"/>
        <v>134</v>
      </c>
      <c r="J37">
        <v>35</v>
      </c>
      <c r="K37">
        <f t="shared" si="6"/>
        <v>36</v>
      </c>
      <c r="L37">
        <v>10000</v>
      </c>
      <c r="M37">
        <v>0</v>
      </c>
      <c r="N37">
        <f t="shared" si="7"/>
        <v>38.888888888888886</v>
      </c>
      <c r="Q37">
        <f t="shared" si="1"/>
        <v>7.3000000000000398E-2</v>
      </c>
    </row>
    <row r="38" spans="1:17" x14ac:dyDescent="0.35">
      <c r="A38">
        <f t="shared" si="2"/>
        <v>37</v>
      </c>
      <c r="B38">
        <v>18.96</v>
      </c>
      <c r="C38">
        <v>0</v>
      </c>
      <c r="I38">
        <f t="shared" si="4"/>
        <v>135</v>
      </c>
      <c r="J38">
        <v>36</v>
      </c>
      <c r="K38">
        <f t="shared" si="6"/>
        <v>37</v>
      </c>
      <c r="L38">
        <v>10000</v>
      </c>
      <c r="M38">
        <v>0</v>
      </c>
      <c r="N38">
        <f t="shared" si="7"/>
        <v>38.888888888888886</v>
      </c>
    </row>
    <row r="39" spans="1:17" x14ac:dyDescent="0.35">
      <c r="A39">
        <f t="shared" si="2"/>
        <v>38</v>
      </c>
      <c r="B39">
        <v>19.05</v>
      </c>
      <c r="C39">
        <v>0</v>
      </c>
      <c r="I39">
        <f t="shared" si="4"/>
        <v>136</v>
      </c>
      <c r="J39">
        <v>37</v>
      </c>
      <c r="K39">
        <f t="shared" si="6"/>
        <v>38</v>
      </c>
      <c r="L39">
        <v>10000</v>
      </c>
      <c r="M39">
        <v>0</v>
      </c>
      <c r="N39">
        <f t="shared" si="7"/>
        <v>38.888888888888886</v>
      </c>
    </row>
    <row r="40" spans="1:17" x14ac:dyDescent="0.35">
      <c r="A40">
        <f t="shared" si="2"/>
        <v>39</v>
      </c>
      <c r="B40">
        <v>19.183</v>
      </c>
      <c r="C40">
        <v>0</v>
      </c>
      <c r="I40">
        <f t="shared" si="4"/>
        <v>137</v>
      </c>
      <c r="J40">
        <v>38</v>
      </c>
      <c r="K40">
        <f t="shared" si="6"/>
        <v>39</v>
      </c>
      <c r="L40">
        <v>10000</v>
      </c>
      <c r="M40">
        <v>0</v>
      </c>
      <c r="N40">
        <f t="shared" si="7"/>
        <v>38.888888888888886</v>
      </c>
    </row>
    <row r="41" spans="1:17" x14ac:dyDescent="0.35">
      <c r="A41">
        <f t="shared" si="2"/>
        <v>40</v>
      </c>
      <c r="B41">
        <v>19.422999999999998</v>
      </c>
      <c r="C41">
        <v>0</v>
      </c>
      <c r="I41">
        <f t="shared" si="4"/>
        <v>138</v>
      </c>
      <c r="J41">
        <v>39</v>
      </c>
      <c r="K41">
        <f t="shared" si="6"/>
        <v>40</v>
      </c>
      <c r="L41">
        <v>10000</v>
      </c>
      <c r="M41">
        <v>0</v>
      </c>
      <c r="N41">
        <f t="shared" si="7"/>
        <v>38.888888888888886</v>
      </c>
      <c r="Q41">
        <f>B41-B37</f>
        <v>0.59999999999999787</v>
      </c>
    </row>
    <row r="42" spans="1:17" x14ac:dyDescent="0.35">
      <c r="A42">
        <f t="shared" si="2"/>
        <v>41</v>
      </c>
      <c r="B42">
        <v>19.507000000000001</v>
      </c>
      <c r="C42">
        <v>0</v>
      </c>
      <c r="I42">
        <f t="shared" si="4"/>
        <v>139</v>
      </c>
      <c r="J42">
        <v>40</v>
      </c>
      <c r="K42">
        <f t="shared" si="6"/>
        <v>41</v>
      </c>
      <c r="L42">
        <v>10000</v>
      </c>
      <c r="M42">
        <v>0</v>
      </c>
      <c r="N42">
        <f t="shared" si="7"/>
        <v>38.888888888888886</v>
      </c>
      <c r="Q42">
        <f t="shared" ref="Q42:Q71" si="8">B42-B41</f>
        <v>8.4000000000003183E-2</v>
      </c>
    </row>
    <row r="43" spans="1:17" x14ac:dyDescent="0.35">
      <c r="A43">
        <f t="shared" si="2"/>
        <v>42</v>
      </c>
      <c r="B43">
        <v>19.943000000000001</v>
      </c>
      <c r="C43">
        <v>0</v>
      </c>
      <c r="G43">
        <v>1</v>
      </c>
      <c r="H43">
        <v>1</v>
      </c>
      <c r="I43">
        <f t="shared" si="4"/>
        <v>140</v>
      </c>
      <c r="J43">
        <v>41</v>
      </c>
      <c r="K43">
        <f t="shared" si="6"/>
        <v>42</v>
      </c>
      <c r="L43">
        <v>10000</v>
      </c>
      <c r="M43">
        <v>0</v>
      </c>
      <c r="N43">
        <f t="shared" si="7"/>
        <v>38.888888888888886</v>
      </c>
      <c r="Q43">
        <f t="shared" si="8"/>
        <v>0.43599999999999994</v>
      </c>
    </row>
    <row r="44" spans="1:17" x14ac:dyDescent="0.35">
      <c r="A44">
        <f t="shared" si="2"/>
        <v>43</v>
      </c>
      <c r="B44">
        <v>20.353999999999999</v>
      </c>
      <c r="C44">
        <v>0</v>
      </c>
      <c r="G44">
        <v>1</v>
      </c>
      <c r="H44">
        <v>-1</v>
      </c>
      <c r="I44">
        <f t="shared" si="4"/>
        <v>141</v>
      </c>
      <c r="J44">
        <v>42</v>
      </c>
      <c r="K44">
        <f t="shared" si="6"/>
        <v>43</v>
      </c>
      <c r="L44">
        <v>10000</v>
      </c>
      <c r="M44">
        <v>0</v>
      </c>
      <c r="N44">
        <f t="shared" si="7"/>
        <v>38.888888888888886</v>
      </c>
      <c r="Q44">
        <f t="shared" si="8"/>
        <v>0.41099999999999781</v>
      </c>
    </row>
    <row r="45" spans="1:17" x14ac:dyDescent="0.35">
      <c r="A45">
        <f t="shared" si="2"/>
        <v>44</v>
      </c>
      <c r="B45">
        <v>21.347999999999999</v>
      </c>
      <c r="C45">
        <v>0</v>
      </c>
      <c r="G45">
        <v>1</v>
      </c>
      <c r="H45">
        <v>1</v>
      </c>
      <c r="I45">
        <f t="shared" si="4"/>
        <v>142</v>
      </c>
      <c r="J45">
        <v>43</v>
      </c>
      <c r="K45">
        <f t="shared" si="6"/>
        <v>44</v>
      </c>
      <c r="L45">
        <v>10000</v>
      </c>
      <c r="M45">
        <v>0</v>
      </c>
      <c r="N45">
        <f t="shared" si="7"/>
        <v>38.888888888888886</v>
      </c>
      <c r="Q45">
        <f t="shared" si="8"/>
        <v>0.99399999999999977</v>
      </c>
    </row>
    <row r="46" spans="1:17" x14ac:dyDescent="0.35">
      <c r="A46">
        <f t="shared" si="2"/>
        <v>45</v>
      </c>
      <c r="B46">
        <v>21.366</v>
      </c>
      <c r="C46">
        <v>0</v>
      </c>
      <c r="G46">
        <v>1</v>
      </c>
      <c r="H46">
        <v>-1</v>
      </c>
      <c r="I46">
        <f t="shared" si="4"/>
        <v>143</v>
      </c>
      <c r="J46">
        <v>44</v>
      </c>
      <c r="K46">
        <f t="shared" si="6"/>
        <v>45</v>
      </c>
      <c r="L46">
        <v>10000</v>
      </c>
      <c r="M46">
        <v>0</v>
      </c>
      <c r="N46">
        <f t="shared" si="7"/>
        <v>38.888888888888886</v>
      </c>
      <c r="Q46">
        <f t="shared" si="8"/>
        <v>1.8000000000000682E-2</v>
      </c>
    </row>
    <row r="47" spans="1:17" x14ac:dyDescent="0.35">
      <c r="A47">
        <f t="shared" si="2"/>
        <v>46</v>
      </c>
      <c r="B47">
        <v>21.943999999999999</v>
      </c>
      <c r="C47">
        <v>0</v>
      </c>
      <c r="G47">
        <v>1</v>
      </c>
      <c r="H47">
        <v>1</v>
      </c>
      <c r="I47">
        <f t="shared" si="4"/>
        <v>144</v>
      </c>
      <c r="J47">
        <v>45</v>
      </c>
      <c r="K47">
        <f t="shared" si="6"/>
        <v>46</v>
      </c>
      <c r="L47">
        <v>10000</v>
      </c>
      <c r="M47">
        <v>0</v>
      </c>
      <c r="N47">
        <f t="shared" si="7"/>
        <v>38.888888888888886</v>
      </c>
      <c r="Q47">
        <f t="shared" si="8"/>
        <v>0.5779999999999994</v>
      </c>
    </row>
    <row r="48" spans="1:17" x14ac:dyDescent="0.35">
      <c r="A48">
        <f t="shared" si="2"/>
        <v>47</v>
      </c>
      <c r="B48">
        <v>22.951000000000001</v>
      </c>
      <c r="C48">
        <v>0</v>
      </c>
      <c r="G48">
        <v>1</v>
      </c>
      <c r="H48">
        <v>-1</v>
      </c>
      <c r="I48">
        <f t="shared" si="4"/>
        <v>145</v>
      </c>
      <c r="J48">
        <v>46</v>
      </c>
      <c r="K48">
        <f t="shared" si="6"/>
        <v>47</v>
      </c>
      <c r="L48">
        <v>10000</v>
      </c>
      <c r="M48">
        <v>0</v>
      </c>
      <c r="N48">
        <f t="shared" si="7"/>
        <v>38.888888888888886</v>
      </c>
      <c r="Q48">
        <f t="shared" si="8"/>
        <v>1.0070000000000014</v>
      </c>
    </row>
    <row r="49" spans="1:17" x14ac:dyDescent="0.35">
      <c r="A49">
        <f t="shared" si="2"/>
        <v>48</v>
      </c>
      <c r="B49">
        <v>23.686</v>
      </c>
      <c r="C49">
        <v>0</v>
      </c>
      <c r="G49">
        <v>1</v>
      </c>
      <c r="H49">
        <v>1</v>
      </c>
      <c r="I49">
        <f t="shared" si="4"/>
        <v>146</v>
      </c>
      <c r="J49">
        <v>47</v>
      </c>
      <c r="K49">
        <f t="shared" si="6"/>
        <v>48</v>
      </c>
      <c r="L49">
        <v>10000</v>
      </c>
      <c r="M49">
        <v>0</v>
      </c>
      <c r="N49">
        <f t="shared" si="7"/>
        <v>38.888888888888886</v>
      </c>
      <c r="Q49">
        <f t="shared" si="8"/>
        <v>0.73499999999999943</v>
      </c>
    </row>
    <row r="50" spans="1:17" x14ac:dyDescent="0.35">
      <c r="A50">
        <f t="shared" si="2"/>
        <v>49</v>
      </c>
      <c r="B50">
        <v>24.56</v>
      </c>
      <c r="C50">
        <v>0</v>
      </c>
      <c r="G50">
        <v>1</v>
      </c>
      <c r="H50">
        <v>-1</v>
      </c>
      <c r="I50">
        <f t="shared" si="4"/>
        <v>147</v>
      </c>
      <c r="J50">
        <v>48</v>
      </c>
      <c r="K50">
        <f t="shared" si="6"/>
        <v>49</v>
      </c>
      <c r="L50">
        <v>10000</v>
      </c>
      <c r="M50">
        <v>0</v>
      </c>
      <c r="N50">
        <f t="shared" si="7"/>
        <v>38.888888888888886</v>
      </c>
      <c r="Q50">
        <f t="shared" si="8"/>
        <v>0.87399999999999878</v>
      </c>
    </row>
    <row r="51" spans="1:17" x14ac:dyDescent="0.35">
      <c r="A51">
        <f t="shared" si="2"/>
        <v>50</v>
      </c>
      <c r="B51">
        <v>25.402000000000001</v>
      </c>
      <c r="C51">
        <v>0</v>
      </c>
      <c r="G51">
        <v>1</v>
      </c>
      <c r="H51">
        <v>1</v>
      </c>
      <c r="I51">
        <f t="shared" si="4"/>
        <v>148</v>
      </c>
      <c r="J51">
        <v>49</v>
      </c>
      <c r="K51">
        <f t="shared" si="6"/>
        <v>50</v>
      </c>
      <c r="L51">
        <v>10000</v>
      </c>
      <c r="M51">
        <v>0</v>
      </c>
      <c r="N51">
        <f t="shared" si="7"/>
        <v>38.888888888888886</v>
      </c>
      <c r="Q51">
        <f t="shared" si="8"/>
        <v>0.8420000000000023</v>
      </c>
    </row>
    <row r="52" spans="1:17" x14ac:dyDescent="0.35">
      <c r="A52">
        <f t="shared" si="2"/>
        <v>51</v>
      </c>
      <c r="B52">
        <v>26.234999999999999</v>
      </c>
      <c r="C52">
        <v>0</v>
      </c>
      <c r="G52">
        <v>1</v>
      </c>
      <c r="H52">
        <v>-1</v>
      </c>
      <c r="I52">
        <f t="shared" si="4"/>
        <v>149</v>
      </c>
      <c r="J52">
        <v>50</v>
      </c>
      <c r="K52">
        <f t="shared" si="6"/>
        <v>51</v>
      </c>
      <c r="L52">
        <v>10000</v>
      </c>
      <c r="M52">
        <v>0</v>
      </c>
      <c r="N52">
        <f t="shared" si="7"/>
        <v>38.888888888888886</v>
      </c>
      <c r="Q52">
        <f t="shared" si="8"/>
        <v>0.83299999999999841</v>
      </c>
    </row>
    <row r="53" spans="1:17" x14ac:dyDescent="0.35">
      <c r="A53">
        <f t="shared" si="2"/>
        <v>52</v>
      </c>
      <c r="B53">
        <v>26.827999999999999</v>
      </c>
      <c r="C53">
        <v>0</v>
      </c>
      <c r="G53">
        <v>1</v>
      </c>
      <c r="H53">
        <v>1</v>
      </c>
      <c r="I53">
        <f t="shared" si="4"/>
        <v>150</v>
      </c>
      <c r="J53">
        <v>51</v>
      </c>
      <c r="K53">
        <f t="shared" si="6"/>
        <v>52</v>
      </c>
      <c r="L53">
        <v>10000</v>
      </c>
      <c r="M53">
        <v>0</v>
      </c>
      <c r="N53">
        <f t="shared" si="7"/>
        <v>38.888888888888886</v>
      </c>
      <c r="Q53">
        <f t="shared" si="8"/>
        <v>0.59299999999999997</v>
      </c>
    </row>
    <row r="54" spans="1:17" x14ac:dyDescent="0.35">
      <c r="A54">
        <f t="shared" si="2"/>
        <v>53</v>
      </c>
      <c r="B54">
        <v>27.425000000000001</v>
      </c>
      <c r="C54">
        <v>0</v>
      </c>
      <c r="D54" t="s">
        <v>23</v>
      </c>
      <c r="I54">
        <f t="shared" si="4"/>
        <v>151</v>
      </c>
      <c r="J54">
        <v>52</v>
      </c>
      <c r="K54">
        <f t="shared" si="6"/>
        <v>53</v>
      </c>
      <c r="L54">
        <v>10000</v>
      </c>
      <c r="M54">
        <v>0</v>
      </c>
      <c r="N54">
        <f>200/3.6</f>
        <v>55.555555555555557</v>
      </c>
      <c r="Q54">
        <f t="shared" si="8"/>
        <v>0.59700000000000131</v>
      </c>
    </row>
    <row r="55" spans="1:17" x14ac:dyDescent="0.35">
      <c r="A55">
        <f t="shared" si="2"/>
        <v>54</v>
      </c>
      <c r="B55">
        <v>27.43</v>
      </c>
      <c r="C55">
        <v>0</v>
      </c>
      <c r="F55">
        <v>1</v>
      </c>
      <c r="I55">
        <f t="shared" si="4"/>
        <v>152</v>
      </c>
      <c r="J55">
        <v>53</v>
      </c>
      <c r="K55">
        <f t="shared" si="6"/>
        <v>54</v>
      </c>
      <c r="L55">
        <v>10000</v>
      </c>
      <c r="M55">
        <v>0</v>
      </c>
      <c r="N55">
        <f>200/3.6</f>
        <v>55.555555555555557</v>
      </c>
      <c r="Q55">
        <f t="shared" si="8"/>
        <v>4.9999999999990052E-3</v>
      </c>
    </row>
    <row r="56" spans="1:17" x14ac:dyDescent="0.35">
      <c r="A56">
        <f t="shared" si="2"/>
        <v>55</v>
      </c>
      <c r="B56">
        <v>27.62</v>
      </c>
      <c r="C56">
        <v>0</v>
      </c>
      <c r="I56">
        <f t="shared" si="4"/>
        <v>153</v>
      </c>
      <c r="J56">
        <v>54</v>
      </c>
      <c r="K56">
        <f t="shared" si="6"/>
        <v>55</v>
      </c>
      <c r="L56">
        <v>10000</v>
      </c>
      <c r="M56">
        <v>0</v>
      </c>
      <c r="N56">
        <f t="shared" ref="N56:N63" si="9">200/3.6</f>
        <v>55.555555555555557</v>
      </c>
      <c r="Q56">
        <f t="shared" si="8"/>
        <v>0.19000000000000128</v>
      </c>
    </row>
    <row r="57" spans="1:17" x14ac:dyDescent="0.35">
      <c r="A57">
        <f t="shared" si="2"/>
        <v>56</v>
      </c>
      <c r="B57">
        <v>28.074000000000002</v>
      </c>
      <c r="C57">
        <v>0</v>
      </c>
      <c r="G57">
        <v>1</v>
      </c>
      <c r="H57">
        <v>-1</v>
      </c>
      <c r="I57">
        <f t="shared" si="4"/>
        <v>154</v>
      </c>
      <c r="J57">
        <v>55</v>
      </c>
      <c r="K57">
        <f t="shared" si="6"/>
        <v>56</v>
      </c>
      <c r="L57">
        <v>10000</v>
      </c>
      <c r="M57">
        <v>0</v>
      </c>
      <c r="N57">
        <f t="shared" si="9"/>
        <v>55.555555555555557</v>
      </c>
      <c r="Q57">
        <f t="shared" si="8"/>
        <v>0.45400000000000063</v>
      </c>
    </row>
    <row r="58" spans="1:17" x14ac:dyDescent="0.35">
      <c r="A58">
        <f t="shared" si="2"/>
        <v>57</v>
      </c>
      <c r="B58">
        <v>28.3</v>
      </c>
      <c r="C58">
        <v>0</v>
      </c>
      <c r="I58">
        <f t="shared" si="4"/>
        <v>155</v>
      </c>
      <c r="J58">
        <v>56</v>
      </c>
      <c r="K58">
        <f t="shared" si="6"/>
        <v>57</v>
      </c>
      <c r="L58">
        <v>10000</v>
      </c>
      <c r="M58">
        <v>0</v>
      </c>
      <c r="N58">
        <f t="shared" si="9"/>
        <v>55.555555555555557</v>
      </c>
      <c r="Q58">
        <f t="shared" si="8"/>
        <v>0.22599999999999909</v>
      </c>
    </row>
    <row r="59" spans="1:17" x14ac:dyDescent="0.35">
      <c r="A59">
        <f t="shared" si="2"/>
        <v>58</v>
      </c>
      <c r="B59">
        <v>28.63</v>
      </c>
      <c r="C59">
        <v>0</v>
      </c>
      <c r="I59">
        <f t="shared" si="4"/>
        <v>156</v>
      </c>
      <c r="J59">
        <v>57</v>
      </c>
      <c r="K59">
        <f t="shared" si="6"/>
        <v>58</v>
      </c>
      <c r="L59">
        <v>10000</v>
      </c>
      <c r="M59">
        <v>0</v>
      </c>
      <c r="N59">
        <f t="shared" si="9"/>
        <v>55.555555555555557</v>
      </c>
      <c r="Q59">
        <f t="shared" si="8"/>
        <v>0.32999999999999829</v>
      </c>
    </row>
    <row r="60" spans="1:17" x14ac:dyDescent="0.35">
      <c r="A60">
        <f t="shared" si="2"/>
        <v>59</v>
      </c>
      <c r="B60">
        <v>28.678999999999998</v>
      </c>
      <c r="C60">
        <v>0</v>
      </c>
      <c r="G60">
        <v>1</v>
      </c>
      <c r="H60">
        <v>1</v>
      </c>
      <c r="I60">
        <f t="shared" si="4"/>
        <v>157</v>
      </c>
      <c r="J60">
        <v>58</v>
      </c>
      <c r="K60">
        <f t="shared" si="6"/>
        <v>59</v>
      </c>
      <c r="L60">
        <v>10000</v>
      </c>
      <c r="M60">
        <v>0</v>
      </c>
      <c r="N60">
        <f t="shared" si="9"/>
        <v>55.555555555555557</v>
      </c>
      <c r="Q60">
        <f t="shared" si="8"/>
        <v>4.8999999999999488E-2</v>
      </c>
    </row>
    <row r="61" spans="1:17" x14ac:dyDescent="0.35">
      <c r="A61">
        <f t="shared" si="2"/>
        <v>60</v>
      </c>
      <c r="B61">
        <v>29.329000000000001</v>
      </c>
      <c r="C61">
        <v>0</v>
      </c>
      <c r="I61">
        <f t="shared" si="4"/>
        <v>158</v>
      </c>
      <c r="J61">
        <v>59</v>
      </c>
      <c r="K61">
        <f t="shared" si="6"/>
        <v>60</v>
      </c>
      <c r="L61">
        <v>10000</v>
      </c>
      <c r="M61">
        <v>0</v>
      </c>
      <c r="N61">
        <f t="shared" si="9"/>
        <v>55.555555555555557</v>
      </c>
      <c r="Q61">
        <f t="shared" si="8"/>
        <v>0.65000000000000213</v>
      </c>
    </row>
    <row r="62" spans="1:17" x14ac:dyDescent="0.35">
      <c r="A62">
        <f t="shared" si="2"/>
        <v>61</v>
      </c>
      <c r="B62">
        <v>29.565000000000001</v>
      </c>
      <c r="C62">
        <v>0</v>
      </c>
      <c r="G62">
        <v>1</v>
      </c>
      <c r="H62">
        <v>-1</v>
      </c>
      <c r="I62">
        <f t="shared" si="4"/>
        <v>159</v>
      </c>
      <c r="J62">
        <v>60</v>
      </c>
      <c r="K62">
        <f t="shared" si="6"/>
        <v>61</v>
      </c>
      <c r="L62">
        <v>10000</v>
      </c>
      <c r="M62">
        <v>0</v>
      </c>
      <c r="N62">
        <f t="shared" si="9"/>
        <v>55.555555555555557</v>
      </c>
      <c r="Q62">
        <f t="shared" si="8"/>
        <v>0.23600000000000065</v>
      </c>
    </row>
    <row r="63" spans="1:17" x14ac:dyDescent="0.35">
      <c r="A63">
        <f t="shared" si="2"/>
        <v>62</v>
      </c>
      <c r="B63">
        <v>30</v>
      </c>
      <c r="C63">
        <v>0</v>
      </c>
      <c r="I63">
        <f t="shared" si="4"/>
        <v>160</v>
      </c>
      <c r="J63">
        <v>61</v>
      </c>
      <c r="K63">
        <f t="shared" si="6"/>
        <v>62</v>
      </c>
      <c r="L63">
        <v>10000</v>
      </c>
      <c r="M63">
        <v>0</v>
      </c>
      <c r="N63">
        <f t="shared" si="9"/>
        <v>55.555555555555557</v>
      </c>
      <c r="Q63">
        <f t="shared" si="8"/>
        <v>0.43499999999999872</v>
      </c>
    </row>
    <row r="64" spans="1:17" x14ac:dyDescent="0.35">
      <c r="A64">
        <f t="shared" si="2"/>
        <v>63</v>
      </c>
      <c r="B64">
        <v>30.052</v>
      </c>
      <c r="C64">
        <v>0</v>
      </c>
      <c r="I64">
        <f t="shared" si="4"/>
        <v>161</v>
      </c>
      <c r="J64">
        <v>62</v>
      </c>
      <c r="K64">
        <f t="shared" si="6"/>
        <v>63</v>
      </c>
      <c r="L64">
        <v>10000</v>
      </c>
      <c r="M64">
        <v>0</v>
      </c>
      <c r="N64">
        <f>300/3.6</f>
        <v>83.333333333333329</v>
      </c>
      <c r="Q64">
        <f t="shared" si="8"/>
        <v>5.1999999999999602E-2</v>
      </c>
    </row>
    <row r="65" spans="1:17" x14ac:dyDescent="0.35">
      <c r="A65">
        <f t="shared" si="2"/>
        <v>64</v>
      </c>
      <c r="B65">
        <v>30.34</v>
      </c>
      <c r="C65">
        <v>0</v>
      </c>
      <c r="G65">
        <v>1</v>
      </c>
      <c r="H65">
        <v>1</v>
      </c>
      <c r="I65">
        <f t="shared" si="4"/>
        <v>162</v>
      </c>
      <c r="J65">
        <v>63</v>
      </c>
      <c r="K65">
        <f t="shared" si="6"/>
        <v>64</v>
      </c>
      <c r="L65">
        <v>10000</v>
      </c>
      <c r="M65">
        <v>0</v>
      </c>
      <c r="N65">
        <f t="shared" ref="N65:N111" si="10">300/3.6</f>
        <v>83.333333333333329</v>
      </c>
      <c r="Q65">
        <f t="shared" si="8"/>
        <v>0.28800000000000026</v>
      </c>
    </row>
    <row r="66" spans="1:17" x14ac:dyDescent="0.35">
      <c r="A66">
        <f t="shared" si="2"/>
        <v>65</v>
      </c>
      <c r="B66">
        <v>31.863</v>
      </c>
      <c r="C66">
        <v>0</v>
      </c>
      <c r="G66">
        <v>1</v>
      </c>
      <c r="H66">
        <v>1</v>
      </c>
      <c r="I66">
        <f t="shared" si="4"/>
        <v>163</v>
      </c>
      <c r="J66">
        <v>64</v>
      </c>
      <c r="K66">
        <f t="shared" si="6"/>
        <v>65</v>
      </c>
      <c r="L66">
        <v>10000</v>
      </c>
      <c r="M66">
        <v>0</v>
      </c>
      <c r="N66">
        <f t="shared" si="10"/>
        <v>83.333333333333329</v>
      </c>
      <c r="Q66">
        <f t="shared" si="8"/>
        <v>1.5229999999999997</v>
      </c>
    </row>
    <row r="67" spans="1:17" x14ac:dyDescent="0.35">
      <c r="A67">
        <f t="shared" si="2"/>
        <v>66</v>
      </c>
      <c r="B67">
        <v>31.920999999999999</v>
      </c>
      <c r="C67">
        <v>0</v>
      </c>
      <c r="G67">
        <v>1</v>
      </c>
      <c r="H67">
        <v>-1</v>
      </c>
      <c r="I67">
        <f t="shared" si="4"/>
        <v>164</v>
      </c>
      <c r="J67">
        <v>65</v>
      </c>
      <c r="K67">
        <f t="shared" si="6"/>
        <v>66</v>
      </c>
      <c r="L67">
        <v>10000</v>
      </c>
      <c r="M67">
        <v>0</v>
      </c>
      <c r="N67">
        <f t="shared" si="10"/>
        <v>83.333333333333329</v>
      </c>
      <c r="Q67">
        <f t="shared" si="8"/>
        <v>5.7999999999999829E-2</v>
      </c>
    </row>
    <row r="68" spans="1:17" x14ac:dyDescent="0.35">
      <c r="A68">
        <f t="shared" si="2"/>
        <v>67</v>
      </c>
      <c r="B68">
        <v>33.564999999999998</v>
      </c>
      <c r="C68">
        <v>0</v>
      </c>
      <c r="G68">
        <v>1</v>
      </c>
      <c r="H68">
        <v>1</v>
      </c>
      <c r="I68">
        <f t="shared" si="4"/>
        <v>165</v>
      </c>
      <c r="J68">
        <v>66</v>
      </c>
      <c r="K68">
        <f t="shared" si="6"/>
        <v>67</v>
      </c>
      <c r="L68">
        <v>10000</v>
      </c>
      <c r="M68">
        <v>0</v>
      </c>
      <c r="N68">
        <f t="shared" si="10"/>
        <v>83.333333333333329</v>
      </c>
      <c r="Q68">
        <f t="shared" si="8"/>
        <v>1.6439999999999984</v>
      </c>
    </row>
    <row r="69" spans="1:17" x14ac:dyDescent="0.35">
      <c r="A69">
        <f t="shared" si="2"/>
        <v>68</v>
      </c>
      <c r="B69">
        <v>35.335999999999999</v>
      </c>
      <c r="C69">
        <v>0</v>
      </c>
      <c r="G69">
        <v>1</v>
      </c>
      <c r="H69">
        <v>-1</v>
      </c>
      <c r="I69">
        <f t="shared" si="4"/>
        <v>166</v>
      </c>
      <c r="J69">
        <v>67</v>
      </c>
      <c r="K69">
        <f t="shared" si="6"/>
        <v>68</v>
      </c>
      <c r="L69">
        <v>10000</v>
      </c>
      <c r="M69">
        <v>0</v>
      </c>
      <c r="N69">
        <f t="shared" si="10"/>
        <v>83.333333333333329</v>
      </c>
      <c r="Q69">
        <f t="shared" si="8"/>
        <v>1.7710000000000008</v>
      </c>
    </row>
    <row r="70" spans="1:17" x14ac:dyDescent="0.35">
      <c r="A70">
        <f t="shared" si="2"/>
        <v>69</v>
      </c>
      <c r="B70">
        <v>35.39</v>
      </c>
      <c r="C70">
        <v>0</v>
      </c>
      <c r="G70">
        <v>1</v>
      </c>
      <c r="H70">
        <v>1</v>
      </c>
      <c r="I70">
        <f t="shared" si="4"/>
        <v>167</v>
      </c>
      <c r="J70">
        <v>68</v>
      </c>
      <c r="K70">
        <f t="shared" si="6"/>
        <v>69</v>
      </c>
      <c r="L70">
        <v>10000</v>
      </c>
      <c r="M70">
        <v>0</v>
      </c>
      <c r="N70">
        <f t="shared" si="10"/>
        <v>83.333333333333329</v>
      </c>
      <c r="Q70">
        <f t="shared" si="8"/>
        <v>5.4000000000002046E-2</v>
      </c>
    </row>
    <row r="71" spans="1:17" x14ac:dyDescent="0.35">
      <c r="A71">
        <f t="shared" si="2"/>
        <v>70</v>
      </c>
      <c r="B71">
        <v>36.622999999999998</v>
      </c>
      <c r="C71">
        <v>0</v>
      </c>
      <c r="G71">
        <v>1</v>
      </c>
      <c r="H71">
        <v>-1</v>
      </c>
      <c r="I71">
        <f t="shared" si="4"/>
        <v>168</v>
      </c>
      <c r="J71">
        <v>69</v>
      </c>
      <c r="K71">
        <f t="shared" si="6"/>
        <v>70</v>
      </c>
      <c r="L71">
        <v>10000</v>
      </c>
      <c r="M71">
        <v>0</v>
      </c>
      <c r="N71">
        <f t="shared" si="10"/>
        <v>83.333333333333329</v>
      </c>
      <c r="Q71">
        <f t="shared" si="8"/>
        <v>1.232999999999997</v>
      </c>
    </row>
    <row r="72" spans="1:17" x14ac:dyDescent="0.35">
      <c r="A72">
        <f t="shared" si="2"/>
        <v>71</v>
      </c>
      <c r="B72">
        <v>37.012999999999998</v>
      </c>
      <c r="C72">
        <v>0</v>
      </c>
      <c r="G72">
        <v>1</v>
      </c>
      <c r="H72">
        <v>1</v>
      </c>
      <c r="I72">
        <f t="shared" si="4"/>
        <v>169</v>
      </c>
      <c r="J72">
        <v>70</v>
      </c>
      <c r="K72">
        <f t="shared" si="6"/>
        <v>71</v>
      </c>
      <c r="L72">
        <v>10000</v>
      </c>
      <c r="M72">
        <v>0</v>
      </c>
      <c r="N72">
        <f t="shared" si="10"/>
        <v>83.333333333333329</v>
      </c>
      <c r="Q72">
        <f t="shared" ref="Q72:Q103" si="11">B72-B71</f>
        <v>0.39000000000000057</v>
      </c>
    </row>
    <row r="73" spans="1:17" x14ac:dyDescent="0.35">
      <c r="A73">
        <f t="shared" ref="A73:A129" si="12">A72+1</f>
        <v>72</v>
      </c>
      <c r="B73">
        <v>37.070999999999998</v>
      </c>
      <c r="C73">
        <v>0</v>
      </c>
      <c r="G73">
        <v>1</v>
      </c>
      <c r="H73">
        <v>-1</v>
      </c>
      <c r="I73">
        <f t="shared" si="4"/>
        <v>170</v>
      </c>
      <c r="J73">
        <v>71</v>
      </c>
      <c r="K73">
        <f t="shared" si="6"/>
        <v>72</v>
      </c>
      <c r="L73">
        <v>10000</v>
      </c>
      <c r="M73">
        <v>0</v>
      </c>
      <c r="N73">
        <f t="shared" si="10"/>
        <v>83.333333333333329</v>
      </c>
      <c r="Q73">
        <f t="shared" si="11"/>
        <v>5.7999999999999829E-2</v>
      </c>
    </row>
    <row r="74" spans="1:17" x14ac:dyDescent="0.35">
      <c r="A74">
        <f t="shared" si="12"/>
        <v>73</v>
      </c>
      <c r="B74">
        <v>38.612000000000002</v>
      </c>
      <c r="C74">
        <v>0</v>
      </c>
      <c r="G74">
        <v>1</v>
      </c>
      <c r="H74">
        <v>1</v>
      </c>
      <c r="I74">
        <f t="shared" ref="I74:I129" si="13">I73+1</f>
        <v>171</v>
      </c>
      <c r="J74">
        <v>72</v>
      </c>
      <c r="K74">
        <f t="shared" si="6"/>
        <v>73</v>
      </c>
      <c r="L74">
        <v>10000</v>
      </c>
      <c r="M74">
        <v>0</v>
      </c>
      <c r="N74">
        <f t="shared" si="10"/>
        <v>83.333333333333329</v>
      </c>
      <c r="Q74">
        <f t="shared" si="11"/>
        <v>1.5410000000000039</v>
      </c>
    </row>
    <row r="75" spans="1:17" x14ac:dyDescent="0.35">
      <c r="A75">
        <f t="shared" si="12"/>
        <v>74</v>
      </c>
      <c r="B75">
        <v>39.33</v>
      </c>
      <c r="C75">
        <v>0</v>
      </c>
      <c r="G75">
        <v>1</v>
      </c>
      <c r="H75">
        <v>-1</v>
      </c>
      <c r="I75">
        <f t="shared" si="13"/>
        <v>172</v>
      </c>
      <c r="J75">
        <v>73</v>
      </c>
      <c r="K75">
        <f t="shared" ref="K75:K129" si="14">A75</f>
        <v>74</v>
      </c>
      <c r="L75">
        <v>10000</v>
      </c>
      <c r="M75">
        <v>0</v>
      </c>
      <c r="N75">
        <f t="shared" si="10"/>
        <v>83.333333333333329</v>
      </c>
      <c r="Q75">
        <f t="shared" si="11"/>
        <v>0.71799999999999642</v>
      </c>
    </row>
    <row r="76" spans="1:17" x14ac:dyDescent="0.35">
      <c r="A76">
        <f t="shared" si="12"/>
        <v>75</v>
      </c>
      <c r="B76">
        <v>40.566000000000003</v>
      </c>
      <c r="C76">
        <v>0</v>
      </c>
      <c r="G76">
        <v>1</v>
      </c>
      <c r="H76">
        <v>1</v>
      </c>
      <c r="I76">
        <f t="shared" si="13"/>
        <v>173</v>
      </c>
      <c r="J76">
        <v>74</v>
      </c>
      <c r="K76">
        <f t="shared" si="14"/>
        <v>75</v>
      </c>
      <c r="L76">
        <v>10000</v>
      </c>
      <c r="M76">
        <v>0</v>
      </c>
      <c r="N76">
        <f t="shared" si="10"/>
        <v>83.333333333333329</v>
      </c>
      <c r="Q76">
        <f t="shared" si="11"/>
        <v>1.2360000000000042</v>
      </c>
    </row>
    <row r="77" spans="1:17" x14ac:dyDescent="0.35">
      <c r="A77">
        <f t="shared" si="12"/>
        <v>76</v>
      </c>
      <c r="B77">
        <v>41.515000000000001</v>
      </c>
      <c r="C77">
        <v>0</v>
      </c>
      <c r="G77">
        <v>1</v>
      </c>
      <c r="H77">
        <v>-1</v>
      </c>
      <c r="I77">
        <f t="shared" si="13"/>
        <v>174</v>
      </c>
      <c r="J77">
        <v>75</v>
      </c>
      <c r="K77">
        <f t="shared" si="14"/>
        <v>76</v>
      </c>
      <c r="L77">
        <v>10000</v>
      </c>
      <c r="M77">
        <v>0</v>
      </c>
      <c r="N77">
        <f t="shared" si="10"/>
        <v>83.333333333333329</v>
      </c>
      <c r="Q77">
        <f t="shared" si="11"/>
        <v>0.94899999999999807</v>
      </c>
    </row>
    <row r="78" spans="1:17" x14ac:dyDescent="0.35">
      <c r="A78">
        <f t="shared" si="12"/>
        <v>77</v>
      </c>
      <c r="B78">
        <v>42.66</v>
      </c>
      <c r="C78">
        <v>0</v>
      </c>
      <c r="G78">
        <v>1</v>
      </c>
      <c r="H78">
        <v>1</v>
      </c>
      <c r="I78">
        <f t="shared" si="13"/>
        <v>175</v>
      </c>
      <c r="J78">
        <v>76</v>
      </c>
      <c r="K78">
        <f t="shared" si="14"/>
        <v>77</v>
      </c>
      <c r="L78">
        <v>10000</v>
      </c>
      <c r="M78">
        <v>0</v>
      </c>
      <c r="N78">
        <f t="shared" si="10"/>
        <v>83.333333333333329</v>
      </c>
      <c r="Q78">
        <f t="shared" si="11"/>
        <v>1.144999999999996</v>
      </c>
    </row>
    <row r="79" spans="1:17" x14ac:dyDescent="0.35">
      <c r="A79">
        <f t="shared" si="12"/>
        <v>78</v>
      </c>
      <c r="B79">
        <v>43.701999999999998</v>
      </c>
      <c r="C79">
        <v>0</v>
      </c>
      <c r="G79">
        <v>1</v>
      </c>
      <c r="H79">
        <v>-1</v>
      </c>
      <c r="I79">
        <f t="shared" si="13"/>
        <v>176</v>
      </c>
      <c r="J79">
        <v>77</v>
      </c>
      <c r="K79">
        <f t="shared" si="14"/>
        <v>78</v>
      </c>
      <c r="L79">
        <v>10000</v>
      </c>
      <c r="M79">
        <v>0</v>
      </c>
      <c r="N79">
        <f t="shared" si="10"/>
        <v>83.333333333333329</v>
      </c>
      <c r="Q79">
        <f t="shared" si="11"/>
        <v>1.0420000000000016</v>
      </c>
    </row>
    <row r="80" spans="1:17" x14ac:dyDescent="0.35">
      <c r="A80">
        <f t="shared" si="12"/>
        <v>79</v>
      </c>
      <c r="B80">
        <v>44.325000000000003</v>
      </c>
      <c r="C80">
        <v>0</v>
      </c>
      <c r="G80">
        <v>1</v>
      </c>
      <c r="H80">
        <v>1</v>
      </c>
      <c r="I80">
        <f t="shared" si="13"/>
        <v>177</v>
      </c>
      <c r="J80">
        <v>78</v>
      </c>
      <c r="K80">
        <f t="shared" si="14"/>
        <v>79</v>
      </c>
      <c r="L80">
        <v>10000</v>
      </c>
      <c r="M80">
        <v>0</v>
      </c>
      <c r="N80">
        <f t="shared" si="10"/>
        <v>83.333333333333329</v>
      </c>
      <c r="Q80">
        <f t="shared" si="11"/>
        <v>0.62300000000000466</v>
      </c>
    </row>
    <row r="81" spans="1:17" x14ac:dyDescent="0.35">
      <c r="A81">
        <f t="shared" si="12"/>
        <v>80</v>
      </c>
      <c r="B81">
        <v>45.66</v>
      </c>
      <c r="C81">
        <v>0</v>
      </c>
      <c r="G81">
        <v>1</v>
      </c>
      <c r="H81">
        <v>1</v>
      </c>
      <c r="I81">
        <f t="shared" si="13"/>
        <v>178</v>
      </c>
      <c r="J81">
        <v>79</v>
      </c>
      <c r="K81">
        <f t="shared" si="14"/>
        <v>80</v>
      </c>
      <c r="L81">
        <v>10000</v>
      </c>
      <c r="M81">
        <v>0</v>
      </c>
      <c r="N81">
        <f t="shared" si="10"/>
        <v>83.333333333333329</v>
      </c>
      <c r="Q81">
        <f t="shared" si="11"/>
        <v>1.3349999999999937</v>
      </c>
    </row>
    <row r="82" spans="1:17" x14ac:dyDescent="0.35">
      <c r="A82">
        <f t="shared" si="12"/>
        <v>81</v>
      </c>
      <c r="B82">
        <v>45.716000000000001</v>
      </c>
      <c r="C82">
        <v>0</v>
      </c>
      <c r="G82">
        <v>1</v>
      </c>
      <c r="H82">
        <v>-1</v>
      </c>
      <c r="I82">
        <f t="shared" si="13"/>
        <v>179</v>
      </c>
      <c r="J82">
        <v>80</v>
      </c>
      <c r="K82">
        <f t="shared" si="14"/>
        <v>81</v>
      </c>
      <c r="L82">
        <v>10000</v>
      </c>
      <c r="M82">
        <v>0</v>
      </c>
      <c r="N82">
        <f t="shared" si="10"/>
        <v>83.333333333333329</v>
      </c>
      <c r="Q82">
        <f t="shared" si="11"/>
        <v>5.6000000000004491E-2</v>
      </c>
    </row>
    <row r="83" spans="1:17" x14ac:dyDescent="0.35">
      <c r="A83">
        <f t="shared" si="12"/>
        <v>82</v>
      </c>
      <c r="B83">
        <v>47.38</v>
      </c>
      <c r="C83">
        <v>0</v>
      </c>
      <c r="G83">
        <v>1</v>
      </c>
      <c r="H83">
        <v>1</v>
      </c>
      <c r="I83">
        <f t="shared" si="13"/>
        <v>180</v>
      </c>
      <c r="J83">
        <v>81</v>
      </c>
      <c r="K83">
        <f t="shared" si="14"/>
        <v>82</v>
      </c>
      <c r="L83">
        <v>10000</v>
      </c>
      <c r="M83">
        <v>0</v>
      </c>
      <c r="N83">
        <f t="shared" si="10"/>
        <v>83.333333333333329</v>
      </c>
      <c r="Q83">
        <f t="shared" si="11"/>
        <v>1.6640000000000015</v>
      </c>
    </row>
    <row r="84" spans="1:17" x14ac:dyDescent="0.35">
      <c r="A84">
        <f t="shared" si="12"/>
        <v>83</v>
      </c>
      <c r="B84">
        <v>47.44</v>
      </c>
      <c r="C84">
        <v>0</v>
      </c>
      <c r="G84">
        <v>1</v>
      </c>
      <c r="H84">
        <v>-1</v>
      </c>
      <c r="I84">
        <f t="shared" si="13"/>
        <v>181</v>
      </c>
      <c r="J84">
        <v>82</v>
      </c>
      <c r="K84">
        <f t="shared" si="14"/>
        <v>83</v>
      </c>
      <c r="L84">
        <v>10000</v>
      </c>
      <c r="M84">
        <v>0</v>
      </c>
      <c r="N84">
        <f t="shared" si="10"/>
        <v>83.333333333333329</v>
      </c>
      <c r="Q84">
        <f t="shared" si="11"/>
        <v>5.9999999999995168E-2</v>
      </c>
    </row>
    <row r="85" spans="1:17" x14ac:dyDescent="0.35">
      <c r="A85">
        <f t="shared" si="12"/>
        <v>84</v>
      </c>
      <c r="B85">
        <v>49.095999999999997</v>
      </c>
      <c r="C85">
        <v>0</v>
      </c>
      <c r="G85">
        <v>1</v>
      </c>
      <c r="H85">
        <v>1</v>
      </c>
      <c r="I85">
        <f t="shared" si="13"/>
        <v>182</v>
      </c>
      <c r="J85">
        <v>83</v>
      </c>
      <c r="K85">
        <f t="shared" si="14"/>
        <v>84</v>
      </c>
      <c r="L85">
        <v>10000</v>
      </c>
      <c r="M85">
        <v>0</v>
      </c>
      <c r="N85">
        <f t="shared" si="10"/>
        <v>83.333333333333329</v>
      </c>
      <c r="Q85">
        <f t="shared" si="11"/>
        <v>1.6559999999999988</v>
      </c>
    </row>
    <row r="86" spans="1:17" x14ac:dyDescent="0.35">
      <c r="A86">
        <f t="shared" si="12"/>
        <v>85</v>
      </c>
      <c r="B86">
        <v>49.155999999999999</v>
      </c>
      <c r="C86">
        <v>0</v>
      </c>
      <c r="G86">
        <v>1</v>
      </c>
      <c r="H86">
        <v>-1</v>
      </c>
      <c r="I86">
        <f t="shared" si="13"/>
        <v>183</v>
      </c>
      <c r="J86">
        <v>84</v>
      </c>
      <c r="K86">
        <f t="shared" si="14"/>
        <v>85</v>
      </c>
      <c r="L86">
        <v>10000</v>
      </c>
      <c r="M86">
        <v>0</v>
      </c>
      <c r="N86">
        <f t="shared" si="10"/>
        <v>83.333333333333329</v>
      </c>
      <c r="Q86">
        <f t="shared" si="11"/>
        <v>6.0000000000002274E-2</v>
      </c>
    </row>
    <row r="87" spans="1:17" x14ac:dyDescent="0.35">
      <c r="A87">
        <f t="shared" si="12"/>
        <v>86</v>
      </c>
      <c r="B87">
        <v>50.743000000000002</v>
      </c>
      <c r="C87">
        <v>0</v>
      </c>
      <c r="G87">
        <v>1</v>
      </c>
      <c r="H87">
        <v>1</v>
      </c>
      <c r="I87">
        <f t="shared" si="13"/>
        <v>184</v>
      </c>
      <c r="J87">
        <v>85</v>
      </c>
      <c r="K87">
        <f t="shared" si="14"/>
        <v>86</v>
      </c>
      <c r="L87">
        <v>10000</v>
      </c>
      <c r="M87">
        <v>0</v>
      </c>
      <c r="N87">
        <f t="shared" si="10"/>
        <v>83.333333333333329</v>
      </c>
      <c r="Q87">
        <f t="shared" si="11"/>
        <v>1.5870000000000033</v>
      </c>
    </row>
    <row r="88" spans="1:17" x14ac:dyDescent="0.35">
      <c r="A88">
        <f t="shared" si="12"/>
        <v>87</v>
      </c>
      <c r="B88">
        <v>50.798999999999999</v>
      </c>
      <c r="C88">
        <v>0</v>
      </c>
      <c r="G88">
        <v>1</v>
      </c>
      <c r="H88">
        <v>-1</v>
      </c>
      <c r="I88">
        <f t="shared" si="13"/>
        <v>185</v>
      </c>
      <c r="J88">
        <v>86</v>
      </c>
      <c r="K88">
        <f t="shared" si="14"/>
        <v>87</v>
      </c>
      <c r="L88">
        <v>10000</v>
      </c>
      <c r="M88">
        <v>0</v>
      </c>
      <c r="N88">
        <f t="shared" si="10"/>
        <v>83.333333333333329</v>
      </c>
      <c r="Q88">
        <f t="shared" si="11"/>
        <v>5.5999999999997385E-2</v>
      </c>
    </row>
    <row r="89" spans="1:17" x14ac:dyDescent="0.35">
      <c r="A89">
        <f t="shared" si="12"/>
        <v>88</v>
      </c>
      <c r="B89">
        <v>52.357999999999997</v>
      </c>
      <c r="C89">
        <v>0</v>
      </c>
      <c r="G89">
        <v>1</v>
      </c>
      <c r="H89">
        <v>1</v>
      </c>
      <c r="I89">
        <f t="shared" si="13"/>
        <v>186</v>
      </c>
      <c r="J89">
        <v>87</v>
      </c>
      <c r="K89">
        <f t="shared" si="14"/>
        <v>88</v>
      </c>
      <c r="L89">
        <v>10000</v>
      </c>
      <c r="M89">
        <v>0</v>
      </c>
      <c r="N89">
        <f t="shared" si="10"/>
        <v>83.333333333333329</v>
      </c>
      <c r="Q89">
        <f t="shared" si="11"/>
        <v>1.5589999999999975</v>
      </c>
    </row>
    <row r="90" spans="1:17" x14ac:dyDescent="0.35">
      <c r="A90">
        <f t="shared" si="12"/>
        <v>89</v>
      </c>
      <c r="B90">
        <v>52.417999999999999</v>
      </c>
      <c r="C90">
        <v>0</v>
      </c>
      <c r="G90">
        <v>1</v>
      </c>
      <c r="H90">
        <v>-1</v>
      </c>
      <c r="I90">
        <f t="shared" si="13"/>
        <v>187</v>
      </c>
      <c r="J90">
        <v>88</v>
      </c>
      <c r="K90">
        <f t="shared" si="14"/>
        <v>89</v>
      </c>
      <c r="L90">
        <v>10000</v>
      </c>
      <c r="M90">
        <v>0</v>
      </c>
      <c r="N90">
        <f t="shared" si="10"/>
        <v>83.333333333333329</v>
      </c>
      <c r="Q90">
        <f t="shared" si="11"/>
        <v>6.0000000000002274E-2</v>
      </c>
    </row>
    <row r="91" spans="1:17" x14ac:dyDescent="0.35">
      <c r="A91">
        <f t="shared" si="12"/>
        <v>90</v>
      </c>
      <c r="B91">
        <v>53.963000000000001</v>
      </c>
      <c r="C91">
        <v>0</v>
      </c>
      <c r="G91">
        <v>1</v>
      </c>
      <c r="H91">
        <v>1</v>
      </c>
      <c r="I91">
        <f t="shared" si="13"/>
        <v>188</v>
      </c>
      <c r="J91">
        <v>89</v>
      </c>
      <c r="K91">
        <f t="shared" si="14"/>
        <v>90</v>
      </c>
      <c r="L91">
        <v>10000</v>
      </c>
      <c r="M91">
        <v>0</v>
      </c>
      <c r="N91">
        <f t="shared" si="10"/>
        <v>83.333333333333329</v>
      </c>
      <c r="Q91">
        <f t="shared" si="11"/>
        <v>1.5450000000000017</v>
      </c>
    </row>
    <row r="92" spans="1:17" x14ac:dyDescent="0.35">
      <c r="A92">
        <f t="shared" si="12"/>
        <v>91</v>
      </c>
      <c r="B92">
        <v>54.02</v>
      </c>
      <c r="C92">
        <v>0</v>
      </c>
      <c r="G92">
        <v>1</v>
      </c>
      <c r="H92">
        <v>-1</v>
      </c>
      <c r="I92">
        <f t="shared" si="13"/>
        <v>189</v>
      </c>
      <c r="J92">
        <v>90</v>
      </c>
      <c r="K92">
        <f t="shared" si="14"/>
        <v>91</v>
      </c>
      <c r="L92">
        <v>10000</v>
      </c>
      <c r="M92">
        <v>0</v>
      </c>
      <c r="N92">
        <f t="shared" si="10"/>
        <v>83.333333333333329</v>
      </c>
      <c r="Q92">
        <f t="shared" si="11"/>
        <v>5.700000000000216E-2</v>
      </c>
    </row>
    <row r="93" spans="1:17" x14ac:dyDescent="0.35">
      <c r="A93">
        <f t="shared" si="12"/>
        <v>92</v>
      </c>
      <c r="B93">
        <v>55.573</v>
      </c>
      <c r="C93">
        <v>0</v>
      </c>
      <c r="G93">
        <v>1</v>
      </c>
      <c r="H93">
        <v>-1</v>
      </c>
      <c r="I93">
        <f t="shared" si="13"/>
        <v>190</v>
      </c>
      <c r="J93">
        <v>91</v>
      </c>
      <c r="K93">
        <f t="shared" si="14"/>
        <v>92</v>
      </c>
      <c r="L93">
        <v>10000</v>
      </c>
      <c r="M93">
        <v>0</v>
      </c>
      <c r="N93">
        <f t="shared" si="10"/>
        <v>83.333333333333329</v>
      </c>
      <c r="Q93">
        <f t="shared" si="11"/>
        <v>1.5529999999999973</v>
      </c>
    </row>
    <row r="94" spans="1:17" x14ac:dyDescent="0.35">
      <c r="A94">
        <f t="shared" si="12"/>
        <v>93</v>
      </c>
      <c r="B94">
        <v>55.631999999999998</v>
      </c>
      <c r="C94">
        <v>0</v>
      </c>
      <c r="G94">
        <v>1</v>
      </c>
      <c r="H94">
        <v>-1</v>
      </c>
      <c r="I94">
        <f t="shared" si="13"/>
        <v>191</v>
      </c>
      <c r="J94">
        <v>92</v>
      </c>
      <c r="K94">
        <f t="shared" si="14"/>
        <v>93</v>
      </c>
      <c r="L94">
        <v>10000</v>
      </c>
      <c r="M94">
        <v>0</v>
      </c>
      <c r="N94">
        <f t="shared" si="10"/>
        <v>83.333333333333329</v>
      </c>
      <c r="Q94">
        <f t="shared" si="11"/>
        <v>5.8999999999997499E-2</v>
      </c>
    </row>
    <row r="95" spans="1:17" x14ac:dyDescent="0.35">
      <c r="A95">
        <f t="shared" si="12"/>
        <v>94</v>
      </c>
      <c r="B95">
        <v>57.27</v>
      </c>
      <c r="C95">
        <v>0</v>
      </c>
      <c r="G95">
        <v>1</v>
      </c>
      <c r="H95">
        <v>1</v>
      </c>
      <c r="I95">
        <f t="shared" si="13"/>
        <v>192</v>
      </c>
      <c r="J95">
        <v>93</v>
      </c>
      <c r="K95">
        <f t="shared" si="14"/>
        <v>94</v>
      </c>
      <c r="L95">
        <v>10000</v>
      </c>
      <c r="M95">
        <v>0</v>
      </c>
      <c r="N95">
        <f t="shared" si="10"/>
        <v>83.333333333333329</v>
      </c>
      <c r="Q95">
        <f t="shared" si="11"/>
        <v>1.6380000000000052</v>
      </c>
    </row>
    <row r="96" spans="1:17" x14ac:dyDescent="0.35">
      <c r="A96">
        <f t="shared" si="12"/>
        <v>95</v>
      </c>
      <c r="B96">
        <v>57.326000000000001</v>
      </c>
      <c r="C96">
        <v>0</v>
      </c>
      <c r="G96">
        <v>1</v>
      </c>
      <c r="H96">
        <v>-1</v>
      </c>
      <c r="I96">
        <f t="shared" si="13"/>
        <v>193</v>
      </c>
      <c r="J96">
        <v>94</v>
      </c>
      <c r="K96">
        <f t="shared" si="14"/>
        <v>95</v>
      </c>
      <c r="L96">
        <v>10000</v>
      </c>
      <c r="M96">
        <v>0</v>
      </c>
      <c r="N96">
        <f t="shared" si="10"/>
        <v>83.333333333333329</v>
      </c>
      <c r="Q96">
        <f t="shared" si="11"/>
        <v>5.5999999999997385E-2</v>
      </c>
    </row>
    <row r="97" spans="1:17" x14ac:dyDescent="0.35">
      <c r="A97">
        <f t="shared" si="12"/>
        <v>96</v>
      </c>
      <c r="B97">
        <v>58.881999999999998</v>
      </c>
      <c r="C97">
        <v>0</v>
      </c>
      <c r="G97">
        <v>1</v>
      </c>
      <c r="H97">
        <v>1</v>
      </c>
      <c r="I97">
        <f t="shared" si="13"/>
        <v>194</v>
      </c>
      <c r="J97">
        <v>95</v>
      </c>
      <c r="K97">
        <f t="shared" si="14"/>
        <v>96</v>
      </c>
      <c r="L97">
        <v>10000</v>
      </c>
      <c r="M97">
        <v>0</v>
      </c>
      <c r="N97">
        <f t="shared" si="10"/>
        <v>83.333333333333329</v>
      </c>
      <c r="Q97">
        <f t="shared" si="11"/>
        <v>1.5559999999999974</v>
      </c>
    </row>
    <row r="98" spans="1:17" x14ac:dyDescent="0.35">
      <c r="A98">
        <f t="shared" si="12"/>
        <v>97</v>
      </c>
      <c r="B98">
        <v>58.938000000000002</v>
      </c>
      <c r="C98">
        <v>0</v>
      </c>
      <c r="G98">
        <v>1</v>
      </c>
      <c r="H98">
        <v>-1</v>
      </c>
      <c r="I98">
        <f t="shared" si="13"/>
        <v>195</v>
      </c>
      <c r="J98">
        <v>96</v>
      </c>
      <c r="K98">
        <f t="shared" si="14"/>
        <v>97</v>
      </c>
      <c r="L98">
        <v>10000</v>
      </c>
      <c r="M98">
        <v>0</v>
      </c>
      <c r="N98">
        <f t="shared" si="10"/>
        <v>83.333333333333329</v>
      </c>
      <c r="Q98">
        <f t="shared" si="11"/>
        <v>5.6000000000004491E-2</v>
      </c>
    </row>
    <row r="99" spans="1:17" x14ac:dyDescent="0.35">
      <c r="A99">
        <f t="shared" si="12"/>
        <v>98</v>
      </c>
      <c r="B99">
        <v>60.595999999999997</v>
      </c>
      <c r="C99">
        <v>0</v>
      </c>
      <c r="G99">
        <v>1</v>
      </c>
      <c r="H99">
        <v>1</v>
      </c>
      <c r="I99">
        <f t="shared" si="13"/>
        <v>196</v>
      </c>
      <c r="J99">
        <v>97</v>
      </c>
      <c r="K99">
        <f t="shared" si="14"/>
        <v>98</v>
      </c>
      <c r="L99">
        <v>10000</v>
      </c>
      <c r="M99">
        <v>0</v>
      </c>
      <c r="N99">
        <f t="shared" si="10"/>
        <v>83.333333333333329</v>
      </c>
      <c r="Q99">
        <f t="shared" si="11"/>
        <v>1.6579999999999941</v>
      </c>
    </row>
    <row r="100" spans="1:17" x14ac:dyDescent="0.35">
      <c r="A100">
        <f t="shared" si="12"/>
        <v>99</v>
      </c>
      <c r="B100">
        <v>60.654000000000003</v>
      </c>
      <c r="C100">
        <v>0</v>
      </c>
      <c r="G100">
        <v>1</v>
      </c>
      <c r="H100">
        <v>-1</v>
      </c>
      <c r="I100">
        <f t="shared" si="13"/>
        <v>197</v>
      </c>
      <c r="J100">
        <v>98</v>
      </c>
      <c r="K100">
        <f t="shared" si="14"/>
        <v>99</v>
      </c>
      <c r="L100">
        <v>10000</v>
      </c>
      <c r="M100">
        <v>0</v>
      </c>
      <c r="N100">
        <f t="shared" si="10"/>
        <v>83.333333333333329</v>
      </c>
      <c r="Q100">
        <f t="shared" si="11"/>
        <v>5.8000000000006935E-2</v>
      </c>
    </row>
    <row r="101" spans="1:17" x14ac:dyDescent="0.35">
      <c r="A101">
        <f t="shared" si="12"/>
        <v>100</v>
      </c>
      <c r="B101">
        <v>62.148000000000003</v>
      </c>
      <c r="C101">
        <v>0</v>
      </c>
      <c r="G101">
        <v>1</v>
      </c>
      <c r="H101">
        <v>1</v>
      </c>
      <c r="I101">
        <f t="shared" si="13"/>
        <v>198</v>
      </c>
      <c r="J101">
        <v>99</v>
      </c>
      <c r="K101">
        <f t="shared" si="14"/>
        <v>100</v>
      </c>
      <c r="L101">
        <v>10000</v>
      </c>
      <c r="M101">
        <v>0</v>
      </c>
      <c r="N101">
        <f t="shared" si="10"/>
        <v>83.333333333333329</v>
      </c>
      <c r="Q101">
        <f t="shared" si="11"/>
        <v>1.4939999999999998</v>
      </c>
    </row>
    <row r="102" spans="1:17" x14ac:dyDescent="0.35">
      <c r="A102">
        <f t="shared" si="12"/>
        <v>101</v>
      </c>
      <c r="B102">
        <v>62.71</v>
      </c>
      <c r="C102">
        <v>0</v>
      </c>
      <c r="G102">
        <v>1</v>
      </c>
      <c r="H102">
        <v>-1</v>
      </c>
      <c r="I102">
        <f t="shared" si="13"/>
        <v>199</v>
      </c>
      <c r="J102">
        <v>100</v>
      </c>
      <c r="K102">
        <f t="shared" si="14"/>
        <v>101</v>
      </c>
      <c r="L102">
        <v>10000</v>
      </c>
      <c r="M102">
        <v>0</v>
      </c>
      <c r="N102">
        <f t="shared" si="10"/>
        <v>83.333333333333329</v>
      </c>
      <c r="Q102">
        <f t="shared" si="11"/>
        <v>0.56199999999999761</v>
      </c>
    </row>
    <row r="103" spans="1:17" x14ac:dyDescent="0.35">
      <c r="A103">
        <f t="shared" si="12"/>
        <v>102</v>
      </c>
      <c r="B103">
        <v>63.726999999999997</v>
      </c>
      <c r="C103">
        <v>0</v>
      </c>
      <c r="G103">
        <v>1</v>
      </c>
      <c r="H103">
        <v>-1</v>
      </c>
      <c r="I103">
        <f t="shared" si="13"/>
        <v>200</v>
      </c>
      <c r="J103">
        <v>101</v>
      </c>
      <c r="K103">
        <f t="shared" si="14"/>
        <v>102</v>
      </c>
      <c r="L103">
        <v>10000</v>
      </c>
      <c r="M103">
        <v>0</v>
      </c>
      <c r="N103">
        <f t="shared" si="10"/>
        <v>83.333333333333329</v>
      </c>
      <c r="Q103">
        <f t="shared" si="11"/>
        <v>1.0169999999999959</v>
      </c>
    </row>
    <row r="104" spans="1:17" x14ac:dyDescent="0.35">
      <c r="A104">
        <f t="shared" si="12"/>
        <v>103</v>
      </c>
      <c r="B104">
        <v>64.965000000000003</v>
      </c>
      <c r="C104">
        <v>0</v>
      </c>
      <c r="G104">
        <v>1</v>
      </c>
      <c r="H104">
        <v>1</v>
      </c>
      <c r="I104">
        <f t="shared" si="13"/>
        <v>201</v>
      </c>
      <c r="J104">
        <v>102</v>
      </c>
      <c r="K104">
        <f t="shared" si="14"/>
        <v>103</v>
      </c>
      <c r="L104">
        <v>10000</v>
      </c>
      <c r="M104">
        <v>0</v>
      </c>
      <c r="N104">
        <f t="shared" si="10"/>
        <v>83.333333333333329</v>
      </c>
      <c r="Q104">
        <f t="shared" ref="Q104:Q128" si="15">B104-B103</f>
        <v>1.2380000000000067</v>
      </c>
    </row>
    <row r="105" spans="1:17" x14ac:dyDescent="0.35">
      <c r="A105">
        <f t="shared" si="12"/>
        <v>104</v>
      </c>
      <c r="B105">
        <v>65.694999999999993</v>
      </c>
      <c r="C105">
        <v>0</v>
      </c>
      <c r="I105">
        <f t="shared" si="13"/>
        <v>202</v>
      </c>
      <c r="J105">
        <v>103</v>
      </c>
      <c r="K105">
        <f t="shared" si="14"/>
        <v>104</v>
      </c>
      <c r="L105">
        <v>10000</v>
      </c>
      <c r="M105">
        <v>0</v>
      </c>
      <c r="N105">
        <f t="shared" si="10"/>
        <v>83.333333333333329</v>
      </c>
      <c r="Q105">
        <f t="shared" si="15"/>
        <v>0.72999999999998977</v>
      </c>
    </row>
    <row r="106" spans="1:17" x14ac:dyDescent="0.35">
      <c r="A106">
        <f t="shared" si="12"/>
        <v>105</v>
      </c>
      <c r="B106">
        <v>65.894999999999996</v>
      </c>
      <c r="C106">
        <v>0</v>
      </c>
      <c r="F106">
        <v>1</v>
      </c>
      <c r="I106">
        <f t="shared" si="13"/>
        <v>203</v>
      </c>
      <c r="J106">
        <v>104</v>
      </c>
      <c r="K106">
        <f t="shared" si="14"/>
        <v>105</v>
      </c>
      <c r="L106">
        <v>10000</v>
      </c>
      <c r="M106">
        <v>0</v>
      </c>
      <c r="N106">
        <f t="shared" si="10"/>
        <v>83.333333333333329</v>
      </c>
      <c r="Q106">
        <f t="shared" si="15"/>
        <v>0.20000000000000284</v>
      </c>
    </row>
    <row r="107" spans="1:17" x14ac:dyDescent="0.35">
      <c r="A107">
        <f t="shared" si="12"/>
        <v>106</v>
      </c>
      <c r="B107">
        <v>66.061000000000007</v>
      </c>
      <c r="C107">
        <v>0</v>
      </c>
      <c r="G107">
        <v>1</v>
      </c>
      <c r="H107">
        <v>-1</v>
      </c>
      <c r="I107">
        <f t="shared" si="13"/>
        <v>204</v>
      </c>
      <c r="J107">
        <v>105</v>
      </c>
      <c r="K107">
        <f t="shared" si="14"/>
        <v>106</v>
      </c>
      <c r="L107">
        <v>10000</v>
      </c>
      <c r="M107">
        <v>0</v>
      </c>
      <c r="N107">
        <f t="shared" si="10"/>
        <v>83.333333333333329</v>
      </c>
      <c r="Q107">
        <f t="shared" si="15"/>
        <v>0.16600000000001103</v>
      </c>
    </row>
    <row r="108" spans="1:17" x14ac:dyDescent="0.35">
      <c r="A108">
        <f t="shared" si="12"/>
        <v>107</v>
      </c>
      <c r="B108">
        <v>66.394999999999996</v>
      </c>
      <c r="C108">
        <v>0</v>
      </c>
      <c r="G108">
        <v>1</v>
      </c>
      <c r="H108">
        <v>1</v>
      </c>
      <c r="I108">
        <f t="shared" si="13"/>
        <v>205</v>
      </c>
      <c r="J108">
        <v>106</v>
      </c>
      <c r="K108">
        <f t="shared" si="14"/>
        <v>107</v>
      </c>
      <c r="L108">
        <v>10000</v>
      </c>
      <c r="M108">
        <v>0</v>
      </c>
      <c r="N108">
        <f t="shared" si="10"/>
        <v>83.333333333333329</v>
      </c>
      <c r="Q108">
        <f t="shared" si="15"/>
        <v>0.33399999999998897</v>
      </c>
    </row>
    <row r="109" spans="1:17" x14ac:dyDescent="0.35">
      <c r="A109">
        <f t="shared" si="12"/>
        <v>108</v>
      </c>
      <c r="B109">
        <v>66.55</v>
      </c>
      <c r="C109">
        <v>0</v>
      </c>
      <c r="F109">
        <v>1</v>
      </c>
      <c r="I109">
        <f t="shared" si="13"/>
        <v>206</v>
      </c>
      <c r="J109">
        <v>107</v>
      </c>
      <c r="K109">
        <f t="shared" si="14"/>
        <v>108</v>
      </c>
      <c r="L109">
        <v>10000</v>
      </c>
      <c r="M109">
        <v>0</v>
      </c>
      <c r="N109">
        <f t="shared" si="10"/>
        <v>83.333333333333329</v>
      </c>
      <c r="Q109">
        <f t="shared" si="15"/>
        <v>0.15500000000000114</v>
      </c>
    </row>
    <row r="110" spans="1:17" x14ac:dyDescent="0.35">
      <c r="A110">
        <f t="shared" si="12"/>
        <v>109</v>
      </c>
      <c r="B110">
        <v>66.75</v>
      </c>
      <c r="C110">
        <v>0</v>
      </c>
      <c r="I110">
        <f t="shared" si="13"/>
        <v>207</v>
      </c>
      <c r="J110">
        <v>108</v>
      </c>
      <c r="K110">
        <f t="shared" si="14"/>
        <v>109</v>
      </c>
      <c r="L110">
        <v>10000</v>
      </c>
      <c r="M110">
        <v>0</v>
      </c>
      <c r="N110">
        <f t="shared" si="10"/>
        <v>83.333333333333329</v>
      </c>
      <c r="Q110">
        <f t="shared" si="15"/>
        <v>0.20000000000000284</v>
      </c>
    </row>
    <row r="111" spans="1:17" x14ac:dyDescent="0.35">
      <c r="A111">
        <f t="shared" si="12"/>
        <v>110</v>
      </c>
      <c r="B111">
        <f>B110+0.247</f>
        <v>66.997</v>
      </c>
      <c r="C111">
        <v>0</v>
      </c>
      <c r="D111" t="s">
        <v>57</v>
      </c>
      <c r="I111">
        <f t="shared" si="13"/>
        <v>208</v>
      </c>
      <c r="J111">
        <v>109</v>
      </c>
      <c r="K111">
        <f t="shared" si="14"/>
        <v>110</v>
      </c>
      <c r="L111">
        <v>10000</v>
      </c>
      <c r="M111">
        <v>0</v>
      </c>
      <c r="N111">
        <f t="shared" si="10"/>
        <v>83.333333333333329</v>
      </c>
      <c r="Q111">
        <f t="shared" si="15"/>
        <v>0.24699999999999989</v>
      </c>
    </row>
    <row r="112" spans="1:17" x14ac:dyDescent="0.35">
      <c r="A112">
        <f t="shared" si="12"/>
        <v>111</v>
      </c>
      <c r="B112">
        <v>67.647000000000006</v>
      </c>
      <c r="C112">
        <v>0</v>
      </c>
      <c r="G112">
        <v>1</v>
      </c>
      <c r="H112">
        <v>-1</v>
      </c>
      <c r="I112">
        <f t="shared" si="13"/>
        <v>209</v>
      </c>
      <c r="J112">
        <v>110</v>
      </c>
      <c r="K112">
        <f t="shared" si="14"/>
        <v>111</v>
      </c>
      <c r="L112">
        <v>10000</v>
      </c>
      <c r="M112">
        <v>0</v>
      </c>
      <c r="N112">
        <f>160/3.6</f>
        <v>44.444444444444443</v>
      </c>
      <c r="Q112">
        <f t="shared" si="15"/>
        <v>0.65000000000000568</v>
      </c>
    </row>
    <row r="113" spans="1:17" x14ac:dyDescent="0.35">
      <c r="A113">
        <f t="shared" si="12"/>
        <v>112</v>
      </c>
      <c r="B113">
        <v>68.63300000000001</v>
      </c>
      <c r="C113">
        <v>0</v>
      </c>
      <c r="G113">
        <v>1</v>
      </c>
      <c r="H113">
        <v>1</v>
      </c>
      <c r="I113">
        <f t="shared" si="13"/>
        <v>210</v>
      </c>
      <c r="J113">
        <v>111</v>
      </c>
      <c r="K113">
        <f t="shared" si="14"/>
        <v>112</v>
      </c>
      <c r="L113">
        <v>10000</v>
      </c>
      <c r="M113">
        <v>0</v>
      </c>
      <c r="N113">
        <f t="shared" ref="N113:N129" si="16">160/3.6</f>
        <v>44.444444444444443</v>
      </c>
      <c r="Q113">
        <f t="shared" si="15"/>
        <v>0.98600000000000421</v>
      </c>
    </row>
    <row r="114" spans="1:17" x14ac:dyDescent="0.35">
      <c r="A114">
        <f t="shared" si="12"/>
        <v>113</v>
      </c>
      <c r="B114">
        <v>69.471000000000004</v>
      </c>
      <c r="C114">
        <v>0</v>
      </c>
      <c r="I114">
        <f t="shared" si="13"/>
        <v>211</v>
      </c>
      <c r="J114">
        <v>112</v>
      </c>
      <c r="K114">
        <f t="shared" si="14"/>
        <v>113</v>
      </c>
      <c r="L114">
        <v>10000</v>
      </c>
      <c r="M114">
        <v>0</v>
      </c>
      <c r="N114">
        <f t="shared" si="16"/>
        <v>44.444444444444443</v>
      </c>
      <c r="Q114">
        <f t="shared" si="15"/>
        <v>0.83799999999999386</v>
      </c>
    </row>
    <row r="115" spans="1:17" x14ac:dyDescent="0.35">
      <c r="A115">
        <f t="shared" si="12"/>
        <v>114</v>
      </c>
      <c r="B115">
        <v>69.968000000000004</v>
      </c>
      <c r="C115">
        <v>0</v>
      </c>
      <c r="G115">
        <v>1</v>
      </c>
      <c r="H115">
        <v>-1</v>
      </c>
      <c r="I115">
        <f t="shared" si="13"/>
        <v>212</v>
      </c>
      <c r="J115">
        <v>113</v>
      </c>
      <c r="K115">
        <f t="shared" si="14"/>
        <v>114</v>
      </c>
      <c r="L115">
        <v>10000</v>
      </c>
      <c r="M115">
        <v>0</v>
      </c>
      <c r="N115">
        <f t="shared" si="16"/>
        <v>44.444444444444443</v>
      </c>
      <c r="Q115">
        <f t="shared" si="15"/>
        <v>0.49699999999999989</v>
      </c>
    </row>
    <row r="116" spans="1:17" x14ac:dyDescent="0.35">
      <c r="A116">
        <f t="shared" si="12"/>
        <v>115</v>
      </c>
      <c r="B116">
        <v>70.784000000000006</v>
      </c>
      <c r="C116">
        <v>0</v>
      </c>
      <c r="G116">
        <v>1</v>
      </c>
      <c r="H116">
        <v>1</v>
      </c>
      <c r="I116">
        <f t="shared" si="13"/>
        <v>213</v>
      </c>
      <c r="J116">
        <v>114</v>
      </c>
      <c r="K116">
        <f t="shared" si="14"/>
        <v>115</v>
      </c>
      <c r="L116">
        <v>10000</v>
      </c>
      <c r="M116">
        <v>0</v>
      </c>
      <c r="N116">
        <f t="shared" si="16"/>
        <v>44.444444444444443</v>
      </c>
      <c r="Q116">
        <f t="shared" si="15"/>
        <v>0.8160000000000025</v>
      </c>
    </row>
    <row r="117" spans="1:17" x14ac:dyDescent="0.35">
      <c r="A117">
        <f t="shared" si="12"/>
        <v>116</v>
      </c>
      <c r="B117">
        <v>72.114000000000004</v>
      </c>
      <c r="C117">
        <v>0</v>
      </c>
      <c r="G117">
        <v>1</v>
      </c>
      <c r="H117">
        <v>1</v>
      </c>
      <c r="I117">
        <f t="shared" si="13"/>
        <v>214</v>
      </c>
      <c r="J117">
        <v>115</v>
      </c>
      <c r="K117">
        <f t="shared" si="14"/>
        <v>116</v>
      </c>
      <c r="L117">
        <v>10000</v>
      </c>
      <c r="M117">
        <v>0</v>
      </c>
      <c r="N117">
        <f t="shared" si="16"/>
        <v>44.444444444444443</v>
      </c>
      <c r="Q117">
        <f t="shared" si="15"/>
        <v>1.3299999999999983</v>
      </c>
    </row>
    <row r="118" spans="1:17" x14ac:dyDescent="0.35">
      <c r="A118">
        <f t="shared" si="12"/>
        <v>117</v>
      </c>
      <c r="B118">
        <v>72.168000000000006</v>
      </c>
      <c r="C118">
        <v>0</v>
      </c>
      <c r="G118">
        <v>1</v>
      </c>
      <c r="H118">
        <v>-1</v>
      </c>
      <c r="I118">
        <f t="shared" si="13"/>
        <v>215</v>
      </c>
      <c r="J118">
        <v>116</v>
      </c>
      <c r="K118">
        <f t="shared" si="14"/>
        <v>117</v>
      </c>
      <c r="L118">
        <v>10000</v>
      </c>
      <c r="M118">
        <v>0</v>
      </c>
      <c r="N118">
        <f t="shared" si="16"/>
        <v>44.444444444444443</v>
      </c>
      <c r="Q118">
        <f t="shared" si="15"/>
        <v>5.4000000000002046E-2</v>
      </c>
    </row>
    <row r="119" spans="1:17" x14ac:dyDescent="0.35">
      <c r="A119">
        <f t="shared" si="12"/>
        <v>118</v>
      </c>
      <c r="B119">
        <v>73.759</v>
      </c>
      <c r="C119">
        <v>0</v>
      </c>
      <c r="G119">
        <v>1</v>
      </c>
      <c r="H119">
        <v>1</v>
      </c>
      <c r="I119">
        <f t="shared" si="13"/>
        <v>216</v>
      </c>
      <c r="J119">
        <v>117</v>
      </c>
      <c r="K119">
        <f t="shared" si="14"/>
        <v>118</v>
      </c>
      <c r="L119">
        <v>10000</v>
      </c>
      <c r="M119">
        <v>0</v>
      </c>
      <c r="N119">
        <f t="shared" si="16"/>
        <v>44.444444444444443</v>
      </c>
      <c r="Q119">
        <f t="shared" si="15"/>
        <v>1.590999999999994</v>
      </c>
    </row>
    <row r="120" spans="1:17" x14ac:dyDescent="0.35">
      <c r="A120">
        <f t="shared" si="12"/>
        <v>119</v>
      </c>
      <c r="B120">
        <v>73.819000000000003</v>
      </c>
      <c r="C120">
        <v>0</v>
      </c>
      <c r="G120">
        <v>1</v>
      </c>
      <c r="H120">
        <v>-1</v>
      </c>
      <c r="I120">
        <f t="shared" si="13"/>
        <v>217</v>
      </c>
      <c r="J120">
        <v>118</v>
      </c>
      <c r="K120">
        <f t="shared" si="14"/>
        <v>119</v>
      </c>
      <c r="L120">
        <v>10000</v>
      </c>
      <c r="M120">
        <v>0</v>
      </c>
      <c r="N120">
        <f t="shared" si="16"/>
        <v>44.444444444444443</v>
      </c>
      <c r="Q120">
        <f t="shared" si="15"/>
        <v>6.0000000000002274E-2</v>
      </c>
    </row>
    <row r="121" spans="1:17" x14ac:dyDescent="0.35">
      <c r="A121">
        <f t="shared" si="12"/>
        <v>120</v>
      </c>
      <c r="B121">
        <v>75.304000000000002</v>
      </c>
      <c r="C121">
        <v>0</v>
      </c>
      <c r="G121">
        <v>1</v>
      </c>
      <c r="H121">
        <v>1</v>
      </c>
      <c r="I121">
        <f t="shared" si="13"/>
        <v>218</v>
      </c>
      <c r="J121">
        <v>119</v>
      </c>
      <c r="K121">
        <f t="shared" si="14"/>
        <v>120</v>
      </c>
      <c r="L121">
        <v>10000</v>
      </c>
      <c r="M121">
        <v>0</v>
      </c>
      <c r="N121">
        <f t="shared" si="16"/>
        <v>44.444444444444443</v>
      </c>
      <c r="Q121">
        <f t="shared" si="15"/>
        <v>1.4849999999999994</v>
      </c>
    </row>
    <row r="122" spans="1:17" x14ac:dyDescent="0.35">
      <c r="A122">
        <f t="shared" si="12"/>
        <v>121</v>
      </c>
      <c r="B122">
        <v>75.356999999999999</v>
      </c>
      <c r="C122">
        <v>0</v>
      </c>
      <c r="G122">
        <v>1</v>
      </c>
      <c r="H122">
        <v>-1</v>
      </c>
      <c r="I122">
        <f t="shared" si="13"/>
        <v>219</v>
      </c>
      <c r="J122">
        <v>120</v>
      </c>
      <c r="K122">
        <f t="shared" si="14"/>
        <v>121</v>
      </c>
      <c r="L122">
        <v>10000</v>
      </c>
      <c r="M122">
        <v>0</v>
      </c>
      <c r="N122">
        <f t="shared" si="16"/>
        <v>44.444444444444443</v>
      </c>
      <c r="Q122">
        <f t="shared" si="15"/>
        <v>5.2999999999997272E-2</v>
      </c>
    </row>
    <row r="123" spans="1:17" x14ac:dyDescent="0.35">
      <c r="A123">
        <f t="shared" si="12"/>
        <v>122</v>
      </c>
      <c r="B123">
        <v>76.935000000000002</v>
      </c>
      <c r="C123">
        <v>0</v>
      </c>
      <c r="G123">
        <v>1</v>
      </c>
      <c r="H123">
        <v>1</v>
      </c>
      <c r="I123">
        <f t="shared" si="13"/>
        <v>220</v>
      </c>
      <c r="J123">
        <v>121</v>
      </c>
      <c r="K123">
        <f t="shared" si="14"/>
        <v>122</v>
      </c>
      <c r="L123">
        <v>10000</v>
      </c>
      <c r="M123">
        <v>0</v>
      </c>
      <c r="N123">
        <f t="shared" si="16"/>
        <v>44.444444444444443</v>
      </c>
      <c r="Q123">
        <f t="shared" si="15"/>
        <v>1.578000000000003</v>
      </c>
    </row>
    <row r="124" spans="1:17" x14ac:dyDescent="0.35">
      <c r="A124">
        <f t="shared" si="12"/>
        <v>123</v>
      </c>
      <c r="B124">
        <v>76.994</v>
      </c>
      <c r="C124">
        <v>0</v>
      </c>
      <c r="G124">
        <v>1</v>
      </c>
      <c r="H124">
        <v>-1</v>
      </c>
      <c r="I124">
        <f t="shared" si="13"/>
        <v>221</v>
      </c>
      <c r="J124">
        <v>122</v>
      </c>
      <c r="K124">
        <f t="shared" si="14"/>
        <v>123</v>
      </c>
      <c r="L124">
        <v>10000</v>
      </c>
      <c r="M124">
        <v>0</v>
      </c>
      <c r="N124">
        <f t="shared" si="16"/>
        <v>44.444444444444443</v>
      </c>
      <c r="Q124">
        <f t="shared" si="15"/>
        <v>5.8999999999997499E-2</v>
      </c>
    </row>
    <row r="125" spans="1:17" x14ac:dyDescent="0.35">
      <c r="A125">
        <f t="shared" si="12"/>
        <v>124</v>
      </c>
      <c r="B125">
        <v>77.728999999999999</v>
      </c>
      <c r="C125">
        <v>0</v>
      </c>
      <c r="G125">
        <v>1</v>
      </c>
      <c r="H125">
        <v>1</v>
      </c>
      <c r="I125">
        <f t="shared" si="13"/>
        <v>222</v>
      </c>
      <c r="J125">
        <v>123</v>
      </c>
      <c r="K125">
        <f t="shared" si="14"/>
        <v>124</v>
      </c>
      <c r="L125">
        <v>10000</v>
      </c>
      <c r="M125">
        <v>0</v>
      </c>
      <c r="N125">
        <f t="shared" si="16"/>
        <v>44.444444444444443</v>
      </c>
      <c r="Q125">
        <f t="shared" si="15"/>
        <v>0.73499999999999943</v>
      </c>
    </row>
    <row r="126" spans="1:17" x14ac:dyDescent="0.35">
      <c r="A126">
        <f t="shared" si="12"/>
        <v>125</v>
      </c>
      <c r="B126">
        <v>77.775000000000006</v>
      </c>
      <c r="C126">
        <v>0</v>
      </c>
      <c r="G126">
        <v>1</v>
      </c>
      <c r="H126">
        <v>-1</v>
      </c>
      <c r="I126">
        <f t="shared" si="13"/>
        <v>223</v>
      </c>
      <c r="J126">
        <v>124</v>
      </c>
      <c r="K126">
        <f t="shared" si="14"/>
        <v>125</v>
      </c>
      <c r="L126">
        <v>10000</v>
      </c>
      <c r="M126">
        <v>0</v>
      </c>
      <c r="N126">
        <f t="shared" si="16"/>
        <v>44.444444444444443</v>
      </c>
      <c r="Q126">
        <f t="shared" si="15"/>
        <v>4.600000000000648E-2</v>
      </c>
    </row>
    <row r="127" spans="1:17" x14ac:dyDescent="0.35">
      <c r="A127">
        <f t="shared" si="12"/>
        <v>126</v>
      </c>
      <c r="B127">
        <v>77.84</v>
      </c>
      <c r="C127">
        <v>0</v>
      </c>
      <c r="G127">
        <v>1</v>
      </c>
      <c r="H127">
        <v>1</v>
      </c>
      <c r="I127">
        <f t="shared" si="13"/>
        <v>224</v>
      </c>
      <c r="J127">
        <v>125</v>
      </c>
      <c r="K127">
        <f t="shared" si="14"/>
        <v>126</v>
      </c>
      <c r="L127">
        <v>10000</v>
      </c>
      <c r="M127">
        <v>0</v>
      </c>
      <c r="N127">
        <f t="shared" si="16"/>
        <v>44.444444444444443</v>
      </c>
      <c r="Q127">
        <f t="shared" si="15"/>
        <v>6.4999999999997726E-2</v>
      </c>
    </row>
    <row r="128" spans="1:17" x14ac:dyDescent="0.35">
      <c r="A128">
        <f t="shared" si="12"/>
        <v>127</v>
      </c>
      <c r="B128">
        <v>78</v>
      </c>
      <c r="C128">
        <v>0</v>
      </c>
      <c r="F128">
        <v>1</v>
      </c>
      <c r="I128">
        <f t="shared" si="13"/>
        <v>225</v>
      </c>
      <c r="J128">
        <v>126</v>
      </c>
      <c r="K128">
        <f t="shared" si="14"/>
        <v>127</v>
      </c>
      <c r="L128">
        <v>10000</v>
      </c>
      <c r="M128">
        <v>0</v>
      </c>
      <c r="N128">
        <f t="shared" si="16"/>
        <v>44.444444444444443</v>
      </c>
      <c r="Q128">
        <f t="shared" si="15"/>
        <v>0.15999999999999659</v>
      </c>
    </row>
    <row r="129" spans="1:17" x14ac:dyDescent="0.35">
      <c r="A129">
        <f t="shared" si="12"/>
        <v>128</v>
      </c>
      <c r="B129">
        <v>78.2</v>
      </c>
      <c r="C129">
        <v>0</v>
      </c>
      <c r="G129">
        <v>1</v>
      </c>
      <c r="H129">
        <v>0</v>
      </c>
      <c r="I129">
        <f t="shared" si="13"/>
        <v>226</v>
      </c>
      <c r="J129">
        <v>127</v>
      </c>
      <c r="K129">
        <f t="shared" si="14"/>
        <v>128</v>
      </c>
      <c r="L129">
        <v>10000</v>
      </c>
      <c r="M129">
        <v>0</v>
      </c>
      <c r="N129">
        <f t="shared" si="16"/>
        <v>44.444444444444443</v>
      </c>
      <c r="Q129">
        <f>B129-B12316</f>
        <v>78.2</v>
      </c>
    </row>
  </sheetData>
  <autoFilter ref="A1:N129" xr:uid="{2A6D4E68-C380-4B3D-A60C-D4F1FB9F5A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7E9A-4C00-4165-80A1-D0C1D66BB947}">
  <dimension ref="A1:Q8"/>
  <sheetViews>
    <sheetView zoomScale="85" zoomScaleNormal="85" workbookViewId="0">
      <selection activeCell="D6" activeCellId="1" sqref="B6 D6"/>
    </sheetView>
  </sheetViews>
  <sheetFormatPr defaultRowHeight="14.5" x14ac:dyDescent="0.35"/>
  <cols>
    <col min="5" max="5" width="14.90625" bestFit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45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Q1" t="s">
        <v>12</v>
      </c>
    </row>
    <row r="2" spans="1:17" x14ac:dyDescent="0.35">
      <c r="A2">
        <v>1</v>
      </c>
      <c r="B2">
        <v>11.59</v>
      </c>
      <c r="C2">
        <v>0</v>
      </c>
      <c r="G2">
        <v>1</v>
      </c>
      <c r="H2">
        <v>0</v>
      </c>
    </row>
    <row r="3" spans="1:17" x14ac:dyDescent="0.35">
      <c r="A3">
        <f t="shared" ref="A3:A7" si="0">A2+1</f>
        <v>2</v>
      </c>
      <c r="B3">
        <v>11.676</v>
      </c>
      <c r="C3">
        <v>0</v>
      </c>
      <c r="I3">
        <v>100</v>
      </c>
      <c r="J3">
        <f>A2</f>
        <v>1</v>
      </c>
      <c r="K3">
        <f t="shared" ref="K3:K7" si="1">A3</f>
        <v>2</v>
      </c>
      <c r="L3">
        <v>10000</v>
      </c>
      <c r="M3">
        <v>0</v>
      </c>
      <c r="N3">
        <f>60/3.6</f>
        <v>16.666666666666668</v>
      </c>
      <c r="Q3">
        <f t="shared" ref="Q3:Q8" si="2">B3-B2</f>
        <v>8.6000000000000298E-2</v>
      </c>
    </row>
    <row r="4" spans="1:17" x14ac:dyDescent="0.35">
      <c r="A4">
        <f t="shared" si="0"/>
        <v>3</v>
      </c>
      <c r="B4">
        <v>11.846</v>
      </c>
      <c r="C4">
        <v>0</v>
      </c>
      <c r="G4">
        <v>1</v>
      </c>
      <c r="H4">
        <v>1</v>
      </c>
      <c r="I4">
        <f>I3+1</f>
        <v>101</v>
      </c>
      <c r="J4">
        <f t="shared" ref="J4:J7" si="3">A3</f>
        <v>2</v>
      </c>
      <c r="K4">
        <f t="shared" si="1"/>
        <v>3</v>
      </c>
      <c r="L4">
        <v>10000</v>
      </c>
      <c r="M4">
        <v>0</v>
      </c>
      <c r="N4">
        <f t="shared" ref="N4:N8" si="4">60/3.6</f>
        <v>16.666666666666668</v>
      </c>
      <c r="Q4">
        <f t="shared" si="2"/>
        <v>0.16999999999999993</v>
      </c>
    </row>
    <row r="5" spans="1:17" x14ac:dyDescent="0.35">
      <c r="A5">
        <f t="shared" si="0"/>
        <v>4</v>
      </c>
      <c r="B5">
        <v>11.898</v>
      </c>
      <c r="C5">
        <v>0</v>
      </c>
      <c r="I5">
        <f t="shared" ref="I5:I8" si="5">I4+1</f>
        <v>102</v>
      </c>
      <c r="J5">
        <f t="shared" si="3"/>
        <v>3</v>
      </c>
      <c r="K5">
        <f t="shared" si="1"/>
        <v>4</v>
      </c>
      <c r="L5">
        <v>10000</v>
      </c>
      <c r="M5">
        <v>0</v>
      </c>
      <c r="N5">
        <f t="shared" si="4"/>
        <v>16.666666666666668</v>
      </c>
      <c r="Q5">
        <f t="shared" si="2"/>
        <v>5.1999999999999602E-2</v>
      </c>
    </row>
    <row r="6" spans="1:17" x14ac:dyDescent="0.35">
      <c r="A6">
        <f t="shared" si="0"/>
        <v>5</v>
      </c>
      <c r="B6">
        <v>12.151999999999999</v>
      </c>
      <c r="C6">
        <v>0</v>
      </c>
      <c r="D6" t="s">
        <v>60</v>
      </c>
      <c r="I6">
        <f t="shared" si="5"/>
        <v>103</v>
      </c>
      <c r="J6">
        <f t="shared" si="3"/>
        <v>4</v>
      </c>
      <c r="K6">
        <f t="shared" si="1"/>
        <v>5</v>
      </c>
      <c r="L6">
        <v>10000</v>
      </c>
      <c r="M6">
        <v>0</v>
      </c>
      <c r="N6">
        <f t="shared" si="4"/>
        <v>16.666666666666668</v>
      </c>
      <c r="Q6">
        <f t="shared" si="2"/>
        <v>0.25399999999999956</v>
      </c>
    </row>
    <row r="7" spans="1:17" x14ac:dyDescent="0.35">
      <c r="A7">
        <f t="shared" si="0"/>
        <v>6</v>
      </c>
      <c r="B7">
        <v>12.31</v>
      </c>
      <c r="C7">
        <v>0</v>
      </c>
      <c r="I7">
        <f t="shared" si="5"/>
        <v>104</v>
      </c>
      <c r="J7">
        <f t="shared" si="3"/>
        <v>5</v>
      </c>
      <c r="K7">
        <f t="shared" si="1"/>
        <v>6</v>
      </c>
      <c r="L7">
        <v>10000</v>
      </c>
      <c r="M7">
        <v>0</v>
      </c>
      <c r="N7">
        <f t="shared" si="4"/>
        <v>16.666666666666668</v>
      </c>
      <c r="Q7">
        <f t="shared" si="2"/>
        <v>0.15800000000000125</v>
      </c>
    </row>
    <row r="8" spans="1:17" x14ac:dyDescent="0.35">
      <c r="A8">
        <v>7</v>
      </c>
      <c r="B8">
        <v>12.36</v>
      </c>
      <c r="C8">
        <v>0</v>
      </c>
      <c r="G8">
        <v>1</v>
      </c>
      <c r="H8">
        <v>0</v>
      </c>
      <c r="I8">
        <f t="shared" si="5"/>
        <v>105</v>
      </c>
      <c r="J8">
        <f t="shared" ref="J8" si="6">A7</f>
        <v>6</v>
      </c>
      <c r="K8">
        <f t="shared" ref="K8" si="7">A8</f>
        <v>7</v>
      </c>
      <c r="L8">
        <v>10000</v>
      </c>
      <c r="M8">
        <v>0</v>
      </c>
      <c r="N8">
        <f t="shared" si="4"/>
        <v>16.666666666666668</v>
      </c>
      <c r="Q8">
        <f t="shared" si="2"/>
        <v>4.9999999999998934E-2</v>
      </c>
    </row>
  </sheetData>
  <autoFilter ref="A1:N8" xr:uid="{17637E9A-4C00-4165-80A1-D0C1D66BB94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5F89-2751-41A0-AEAF-9D6DADCC4C18}">
  <dimension ref="A1:Q130"/>
  <sheetViews>
    <sheetView topLeftCell="A105" zoomScale="55" zoomScaleNormal="55" workbookViewId="0">
      <selection activeCell="I3" sqref="I3:N130"/>
    </sheetView>
  </sheetViews>
  <sheetFormatPr defaultRowHeight="14.5" x14ac:dyDescent="0.35"/>
  <cols>
    <col min="5" max="5" width="14.90625" bestFit="1" customWidth="1"/>
    <col min="8" max="8" width="13.54296875" bestFit="1" customWidth="1"/>
    <col min="9" max="9" width="13.54296875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24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Q1" t="s">
        <v>12</v>
      </c>
    </row>
    <row r="2" spans="1:17" x14ac:dyDescent="0.35">
      <c r="A2">
        <v>1</v>
      </c>
      <c r="B2">
        <v>9.6359999999999992</v>
      </c>
      <c r="C2">
        <v>0</v>
      </c>
      <c r="G2">
        <v>1</v>
      </c>
      <c r="H2">
        <v>0</v>
      </c>
    </row>
    <row r="3" spans="1:17" x14ac:dyDescent="0.35">
      <c r="A3">
        <f>A2+1</f>
        <v>2</v>
      </c>
      <c r="B3">
        <v>9.9600000000000009</v>
      </c>
      <c r="C3">
        <v>0</v>
      </c>
      <c r="I3">
        <v>100</v>
      </c>
      <c r="J3">
        <v>1</v>
      </c>
      <c r="K3">
        <f t="shared" ref="K3:K6" si="0">A3</f>
        <v>2</v>
      </c>
      <c r="L3">
        <v>10000</v>
      </c>
      <c r="M3">
        <v>0</v>
      </c>
      <c r="N3">
        <f>160/3.6</f>
        <v>44.444444444444443</v>
      </c>
      <c r="Q3">
        <f t="shared" ref="Q3:Q67" si="1">B3-B2</f>
        <v>0.32400000000000162</v>
      </c>
    </row>
    <row r="4" spans="1:17" x14ac:dyDescent="0.35">
      <c r="A4">
        <f t="shared" ref="A4:A70" si="2">A3+1</f>
        <v>3</v>
      </c>
      <c r="B4">
        <v>10.156000000000001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si="0"/>
        <v>3</v>
      </c>
      <c r="L4">
        <v>10000</v>
      </c>
      <c r="M4">
        <v>0</v>
      </c>
      <c r="N4">
        <f t="shared" ref="N4:N27" si="3">160/3.6</f>
        <v>44.444444444444443</v>
      </c>
      <c r="Q4">
        <f t="shared" si="1"/>
        <v>0.19599999999999973</v>
      </c>
    </row>
    <row r="5" spans="1:17" x14ac:dyDescent="0.35">
      <c r="A5">
        <f t="shared" si="2"/>
        <v>4</v>
      </c>
      <c r="B5">
        <v>10.694000000000001</v>
      </c>
      <c r="C5">
        <v>0</v>
      </c>
      <c r="I5">
        <f t="shared" ref="I5:I75" si="4">I4+1</f>
        <v>102</v>
      </c>
      <c r="J5">
        <v>3</v>
      </c>
      <c r="K5">
        <f t="shared" si="0"/>
        <v>4</v>
      </c>
      <c r="L5">
        <v>10000</v>
      </c>
      <c r="M5">
        <v>0</v>
      </c>
      <c r="N5">
        <f t="shared" si="3"/>
        <v>44.444444444444443</v>
      </c>
      <c r="Q5">
        <f t="shared" si="1"/>
        <v>0.53800000000000026</v>
      </c>
    </row>
    <row r="6" spans="1:17" x14ac:dyDescent="0.35">
      <c r="A6">
        <f t="shared" si="2"/>
        <v>5</v>
      </c>
      <c r="B6">
        <v>10.987</v>
      </c>
      <c r="C6">
        <v>0</v>
      </c>
      <c r="G6">
        <v>1</v>
      </c>
      <c r="H6">
        <v>1</v>
      </c>
      <c r="I6">
        <f t="shared" si="4"/>
        <v>103</v>
      </c>
      <c r="J6">
        <v>4</v>
      </c>
      <c r="K6">
        <f t="shared" si="0"/>
        <v>5</v>
      </c>
      <c r="L6">
        <v>10000</v>
      </c>
      <c r="M6">
        <v>0</v>
      </c>
      <c r="N6">
        <f t="shared" si="3"/>
        <v>44.444444444444443</v>
      </c>
      <c r="Q6">
        <f t="shared" si="1"/>
        <v>0.29299999999999926</v>
      </c>
    </row>
    <row r="7" spans="1:17" x14ac:dyDescent="0.35">
      <c r="A7">
        <f t="shared" si="2"/>
        <v>6</v>
      </c>
      <c r="B7">
        <v>11.14</v>
      </c>
      <c r="C7">
        <v>0</v>
      </c>
      <c r="I7">
        <f t="shared" si="4"/>
        <v>104</v>
      </c>
      <c r="J7">
        <v>5</v>
      </c>
      <c r="K7">
        <f t="shared" ref="K7:K9" si="5">A7</f>
        <v>6</v>
      </c>
      <c r="L7">
        <v>10000</v>
      </c>
      <c r="M7">
        <v>0</v>
      </c>
      <c r="N7">
        <f t="shared" si="3"/>
        <v>44.444444444444443</v>
      </c>
      <c r="Q7">
        <f t="shared" si="1"/>
        <v>0.15300000000000047</v>
      </c>
    </row>
    <row r="8" spans="1:17" x14ac:dyDescent="0.35">
      <c r="A8">
        <f t="shared" si="2"/>
        <v>7</v>
      </c>
      <c r="B8">
        <v>11.24</v>
      </c>
      <c r="C8">
        <v>0</v>
      </c>
      <c r="I8">
        <f t="shared" si="4"/>
        <v>105</v>
      </c>
      <c r="J8">
        <v>6</v>
      </c>
      <c r="K8">
        <f t="shared" si="5"/>
        <v>7</v>
      </c>
      <c r="L8">
        <v>10000</v>
      </c>
      <c r="M8">
        <v>0</v>
      </c>
      <c r="N8">
        <f t="shared" si="3"/>
        <v>44.444444444444443</v>
      </c>
      <c r="Q8">
        <f t="shared" si="1"/>
        <v>9.9999999999999645E-2</v>
      </c>
    </row>
    <row r="9" spans="1:17" x14ac:dyDescent="0.35">
      <c r="A9">
        <f t="shared" si="2"/>
        <v>8</v>
      </c>
      <c r="B9">
        <v>11.34</v>
      </c>
      <c r="C9">
        <v>0</v>
      </c>
      <c r="I9">
        <f t="shared" si="4"/>
        <v>106</v>
      </c>
      <c r="J9">
        <v>7</v>
      </c>
      <c r="K9">
        <f t="shared" si="5"/>
        <v>8</v>
      </c>
      <c r="L9">
        <v>10000</v>
      </c>
      <c r="M9">
        <v>0</v>
      </c>
      <c r="N9">
        <f t="shared" si="3"/>
        <v>44.444444444444443</v>
      </c>
      <c r="Q9">
        <f t="shared" si="1"/>
        <v>9.9999999999999645E-2</v>
      </c>
    </row>
    <row r="10" spans="1:17" x14ac:dyDescent="0.35">
      <c r="A10">
        <f t="shared" si="2"/>
        <v>9</v>
      </c>
      <c r="B10">
        <v>11.42</v>
      </c>
      <c r="C10">
        <v>0</v>
      </c>
      <c r="F10">
        <v>1</v>
      </c>
      <c r="I10">
        <f t="shared" si="4"/>
        <v>107</v>
      </c>
      <c r="J10">
        <v>8</v>
      </c>
      <c r="K10">
        <f t="shared" ref="K10:K17" si="6">A10</f>
        <v>9</v>
      </c>
      <c r="L10">
        <v>10000</v>
      </c>
      <c r="M10">
        <v>0</v>
      </c>
      <c r="N10">
        <f t="shared" si="3"/>
        <v>44.444444444444443</v>
      </c>
      <c r="Q10">
        <f t="shared" si="1"/>
        <v>8.0000000000000071E-2</v>
      </c>
    </row>
    <row r="11" spans="1:17" x14ac:dyDescent="0.35">
      <c r="A11">
        <f t="shared" si="2"/>
        <v>10</v>
      </c>
      <c r="B11">
        <v>11.5</v>
      </c>
      <c r="C11">
        <v>0</v>
      </c>
      <c r="F11">
        <v>1</v>
      </c>
      <c r="I11">
        <f t="shared" si="4"/>
        <v>108</v>
      </c>
      <c r="J11">
        <v>9</v>
      </c>
      <c r="K11">
        <f t="shared" si="6"/>
        <v>10</v>
      </c>
      <c r="L11">
        <v>10000</v>
      </c>
      <c r="M11">
        <v>0</v>
      </c>
      <c r="N11">
        <f t="shared" si="3"/>
        <v>44.444444444444443</v>
      </c>
      <c r="Q11">
        <f t="shared" si="1"/>
        <v>8.0000000000000071E-2</v>
      </c>
    </row>
    <row r="12" spans="1:17" x14ac:dyDescent="0.35">
      <c r="A12">
        <f t="shared" si="2"/>
        <v>11</v>
      </c>
      <c r="B12">
        <v>11.59</v>
      </c>
      <c r="C12">
        <v>0</v>
      </c>
      <c r="I12">
        <f t="shared" si="4"/>
        <v>109</v>
      </c>
      <c r="J12">
        <v>10</v>
      </c>
      <c r="K12">
        <f t="shared" si="6"/>
        <v>11</v>
      </c>
      <c r="L12">
        <v>10000</v>
      </c>
      <c r="M12">
        <v>0</v>
      </c>
      <c r="N12">
        <f t="shared" si="3"/>
        <v>44.444444444444443</v>
      </c>
      <c r="Q12">
        <f t="shared" si="1"/>
        <v>8.9999999999999858E-2</v>
      </c>
    </row>
    <row r="13" spans="1:17" x14ac:dyDescent="0.35">
      <c r="A13">
        <f t="shared" si="2"/>
        <v>12</v>
      </c>
      <c r="B13">
        <v>11.676</v>
      </c>
      <c r="C13">
        <v>0</v>
      </c>
      <c r="G13">
        <v>1</v>
      </c>
      <c r="H13">
        <v>-1</v>
      </c>
      <c r="I13">
        <f t="shared" si="4"/>
        <v>110</v>
      </c>
      <c r="J13">
        <v>11</v>
      </c>
      <c r="K13">
        <f t="shared" si="6"/>
        <v>12</v>
      </c>
      <c r="L13">
        <v>10000</v>
      </c>
      <c r="M13">
        <v>0</v>
      </c>
      <c r="N13">
        <f t="shared" si="3"/>
        <v>44.444444444444443</v>
      </c>
      <c r="Q13">
        <f t="shared" si="1"/>
        <v>8.6000000000000298E-2</v>
      </c>
    </row>
    <row r="14" spans="1:17" x14ac:dyDescent="0.35">
      <c r="A14">
        <f t="shared" si="2"/>
        <v>13</v>
      </c>
      <c r="B14">
        <v>11.846</v>
      </c>
      <c r="C14">
        <v>0</v>
      </c>
      <c r="I14">
        <f t="shared" si="4"/>
        <v>111</v>
      </c>
      <c r="J14">
        <v>12</v>
      </c>
      <c r="K14">
        <f t="shared" si="6"/>
        <v>13</v>
      </c>
      <c r="L14">
        <v>10000</v>
      </c>
      <c r="M14">
        <v>0</v>
      </c>
      <c r="N14">
        <f t="shared" si="3"/>
        <v>44.444444444444443</v>
      </c>
      <c r="Q14">
        <f t="shared" si="1"/>
        <v>0.16999999999999993</v>
      </c>
    </row>
    <row r="15" spans="1:17" x14ac:dyDescent="0.35">
      <c r="A15">
        <f t="shared" si="2"/>
        <v>14</v>
      </c>
      <c r="B15">
        <v>11.898</v>
      </c>
      <c r="C15">
        <v>0</v>
      </c>
      <c r="I15">
        <f t="shared" si="4"/>
        <v>112</v>
      </c>
      <c r="J15">
        <v>13</v>
      </c>
      <c r="K15">
        <f t="shared" si="6"/>
        <v>14</v>
      </c>
      <c r="L15">
        <v>10000</v>
      </c>
      <c r="M15">
        <v>0</v>
      </c>
      <c r="N15">
        <f t="shared" si="3"/>
        <v>44.444444444444443</v>
      </c>
      <c r="Q15">
        <f t="shared" si="1"/>
        <v>5.1999999999999602E-2</v>
      </c>
    </row>
    <row r="16" spans="1:17" x14ac:dyDescent="0.35">
      <c r="A16">
        <f t="shared" si="2"/>
        <v>15</v>
      </c>
      <c r="B16">
        <v>12.151999999999999</v>
      </c>
      <c r="C16">
        <v>0</v>
      </c>
      <c r="I16">
        <f t="shared" si="4"/>
        <v>113</v>
      </c>
      <c r="J16">
        <v>14</v>
      </c>
      <c r="K16">
        <f t="shared" si="6"/>
        <v>15</v>
      </c>
      <c r="L16">
        <v>10000</v>
      </c>
      <c r="M16">
        <v>0</v>
      </c>
      <c r="N16">
        <f t="shared" si="3"/>
        <v>44.444444444444443</v>
      </c>
      <c r="Q16">
        <f t="shared" si="1"/>
        <v>0.25399999999999956</v>
      </c>
    </row>
    <row r="17" spans="1:17" x14ac:dyDescent="0.35">
      <c r="A17">
        <f t="shared" si="2"/>
        <v>16</v>
      </c>
      <c r="B17">
        <v>12.31</v>
      </c>
      <c r="C17">
        <v>0</v>
      </c>
      <c r="D17" t="s">
        <v>14</v>
      </c>
      <c r="I17">
        <f t="shared" si="4"/>
        <v>114</v>
      </c>
      <c r="J17">
        <v>15</v>
      </c>
      <c r="K17">
        <f t="shared" si="6"/>
        <v>16</v>
      </c>
      <c r="L17">
        <v>10000</v>
      </c>
      <c r="M17">
        <v>0</v>
      </c>
      <c r="N17">
        <f t="shared" si="3"/>
        <v>44.444444444444443</v>
      </c>
      <c r="Q17">
        <f t="shared" si="1"/>
        <v>0.15800000000000125</v>
      </c>
    </row>
    <row r="18" spans="1:17" x14ac:dyDescent="0.35">
      <c r="A18">
        <f t="shared" si="2"/>
        <v>17</v>
      </c>
      <c r="B18">
        <v>12.542999999999999</v>
      </c>
      <c r="C18">
        <v>0</v>
      </c>
      <c r="G18">
        <v>1</v>
      </c>
      <c r="H18">
        <v>1</v>
      </c>
      <c r="I18">
        <f t="shared" si="4"/>
        <v>115</v>
      </c>
      <c r="J18">
        <v>16</v>
      </c>
      <c r="K18">
        <f t="shared" ref="K18:K81" si="7">A18</f>
        <v>17</v>
      </c>
      <c r="L18">
        <v>10000</v>
      </c>
      <c r="M18">
        <v>0</v>
      </c>
      <c r="N18">
        <f t="shared" si="3"/>
        <v>44.444444444444443</v>
      </c>
      <c r="Q18">
        <f t="shared" si="1"/>
        <v>0.23299999999999876</v>
      </c>
    </row>
    <row r="19" spans="1:17" x14ac:dyDescent="0.35">
      <c r="A19">
        <f t="shared" si="2"/>
        <v>18</v>
      </c>
      <c r="B19">
        <v>12.749000000000001</v>
      </c>
      <c r="C19">
        <v>0</v>
      </c>
      <c r="I19">
        <f t="shared" si="4"/>
        <v>116</v>
      </c>
      <c r="J19">
        <v>17</v>
      </c>
      <c r="K19">
        <f t="shared" si="7"/>
        <v>18</v>
      </c>
      <c r="L19">
        <v>10000</v>
      </c>
      <c r="M19">
        <v>0</v>
      </c>
      <c r="N19">
        <f t="shared" si="3"/>
        <v>44.444444444444443</v>
      </c>
      <c r="Q19">
        <f t="shared" si="1"/>
        <v>0.20600000000000129</v>
      </c>
    </row>
    <row r="20" spans="1:17" x14ac:dyDescent="0.35">
      <c r="A20">
        <f t="shared" si="2"/>
        <v>19</v>
      </c>
      <c r="B20">
        <v>12.8</v>
      </c>
      <c r="C20">
        <v>0</v>
      </c>
      <c r="F20">
        <v>1</v>
      </c>
      <c r="I20">
        <f t="shared" si="4"/>
        <v>117</v>
      </c>
      <c r="J20">
        <v>18</v>
      </c>
      <c r="K20">
        <f t="shared" si="7"/>
        <v>19</v>
      </c>
      <c r="L20">
        <v>10000</v>
      </c>
      <c r="M20">
        <v>0</v>
      </c>
      <c r="N20">
        <f t="shared" si="3"/>
        <v>44.444444444444443</v>
      </c>
      <c r="Q20">
        <f t="shared" si="1"/>
        <v>5.1000000000000156E-2</v>
      </c>
    </row>
    <row r="21" spans="1:17" x14ac:dyDescent="0.35">
      <c r="A21">
        <f t="shared" si="2"/>
        <v>20</v>
      </c>
      <c r="B21">
        <v>12.92</v>
      </c>
      <c r="C21">
        <v>0</v>
      </c>
      <c r="I21">
        <f t="shared" si="4"/>
        <v>118</v>
      </c>
      <c r="J21">
        <v>19</v>
      </c>
      <c r="K21">
        <f t="shared" si="7"/>
        <v>20</v>
      </c>
      <c r="L21">
        <v>10000</v>
      </c>
      <c r="M21">
        <v>0</v>
      </c>
      <c r="N21">
        <f t="shared" si="3"/>
        <v>44.444444444444443</v>
      </c>
      <c r="Q21">
        <f t="shared" si="1"/>
        <v>0.11999999999999922</v>
      </c>
    </row>
    <row r="22" spans="1:17" x14ac:dyDescent="0.35">
      <c r="A22">
        <f t="shared" si="2"/>
        <v>21</v>
      </c>
      <c r="B22">
        <v>12.98</v>
      </c>
      <c r="C22">
        <v>0</v>
      </c>
      <c r="F22">
        <v>1</v>
      </c>
      <c r="I22">
        <f t="shared" si="4"/>
        <v>119</v>
      </c>
      <c r="J22">
        <v>20</v>
      </c>
      <c r="K22">
        <f t="shared" si="7"/>
        <v>21</v>
      </c>
      <c r="L22">
        <v>10000</v>
      </c>
      <c r="M22">
        <v>0</v>
      </c>
      <c r="N22">
        <f t="shared" si="3"/>
        <v>44.444444444444443</v>
      </c>
      <c r="Q22">
        <f t="shared" si="1"/>
        <v>6.0000000000000497E-2</v>
      </c>
    </row>
    <row r="23" spans="1:17" x14ac:dyDescent="0.35">
      <c r="A23">
        <f t="shared" si="2"/>
        <v>22</v>
      </c>
      <c r="B23">
        <v>13.06</v>
      </c>
      <c r="C23">
        <v>0</v>
      </c>
      <c r="I23">
        <f t="shared" si="4"/>
        <v>120</v>
      </c>
      <c r="J23">
        <v>21</v>
      </c>
      <c r="K23">
        <f t="shared" si="7"/>
        <v>22</v>
      </c>
      <c r="L23">
        <v>10000</v>
      </c>
      <c r="M23">
        <v>0</v>
      </c>
      <c r="N23">
        <f t="shared" si="3"/>
        <v>44.444444444444443</v>
      </c>
      <c r="Q23">
        <f t="shared" si="1"/>
        <v>8.0000000000000071E-2</v>
      </c>
    </row>
    <row r="24" spans="1:17" x14ac:dyDescent="0.35">
      <c r="A24">
        <f t="shared" si="2"/>
        <v>23</v>
      </c>
      <c r="B24">
        <v>13.14</v>
      </c>
      <c r="C24">
        <v>0</v>
      </c>
      <c r="I24">
        <f t="shared" si="4"/>
        <v>121</v>
      </c>
      <c r="J24">
        <v>22</v>
      </c>
      <c r="K24">
        <f t="shared" si="7"/>
        <v>23</v>
      </c>
      <c r="L24">
        <v>10000</v>
      </c>
      <c r="M24">
        <v>0</v>
      </c>
      <c r="N24">
        <f t="shared" si="3"/>
        <v>44.444444444444443</v>
      </c>
      <c r="Q24">
        <f t="shared" si="1"/>
        <v>8.0000000000000071E-2</v>
      </c>
    </row>
    <row r="25" spans="1:17" x14ac:dyDescent="0.35">
      <c r="A25">
        <f t="shared" si="2"/>
        <v>24</v>
      </c>
      <c r="B25">
        <v>13.22</v>
      </c>
      <c r="C25">
        <v>0</v>
      </c>
      <c r="I25">
        <f t="shared" si="4"/>
        <v>122</v>
      </c>
      <c r="J25">
        <v>23</v>
      </c>
      <c r="K25">
        <f t="shared" si="7"/>
        <v>24</v>
      </c>
      <c r="L25">
        <v>10000</v>
      </c>
      <c r="M25">
        <v>0</v>
      </c>
      <c r="N25">
        <f t="shared" si="3"/>
        <v>44.444444444444443</v>
      </c>
      <c r="Q25">
        <f t="shared" si="1"/>
        <v>8.0000000000000071E-2</v>
      </c>
    </row>
    <row r="26" spans="1:17" x14ac:dyDescent="0.35">
      <c r="A26">
        <f t="shared" si="2"/>
        <v>25</v>
      </c>
      <c r="B26">
        <v>13.67</v>
      </c>
      <c r="C26">
        <v>0</v>
      </c>
      <c r="G26">
        <v>1</v>
      </c>
      <c r="H26">
        <v>-1</v>
      </c>
      <c r="I26">
        <f t="shared" si="4"/>
        <v>123</v>
      </c>
      <c r="J26">
        <v>24</v>
      </c>
      <c r="K26">
        <f t="shared" si="7"/>
        <v>25</v>
      </c>
      <c r="L26">
        <v>10000</v>
      </c>
      <c r="M26">
        <v>0</v>
      </c>
      <c r="N26">
        <f t="shared" si="3"/>
        <v>44.444444444444443</v>
      </c>
      <c r="Q26">
        <f t="shared" si="1"/>
        <v>0.44999999999999929</v>
      </c>
    </row>
    <row r="27" spans="1:17" x14ac:dyDescent="0.35">
      <c r="A27">
        <f t="shared" si="2"/>
        <v>26</v>
      </c>
      <c r="B27">
        <v>14.081</v>
      </c>
      <c r="C27">
        <v>0</v>
      </c>
      <c r="G27">
        <v>1</v>
      </c>
      <c r="H27">
        <v>1</v>
      </c>
      <c r="I27">
        <f t="shared" si="4"/>
        <v>124</v>
      </c>
      <c r="J27">
        <v>25</v>
      </c>
      <c r="K27">
        <f t="shared" si="7"/>
        <v>26</v>
      </c>
      <c r="L27">
        <v>10000</v>
      </c>
      <c r="M27">
        <v>0</v>
      </c>
      <c r="N27">
        <f t="shared" si="3"/>
        <v>44.444444444444443</v>
      </c>
      <c r="Q27">
        <f t="shared" si="1"/>
        <v>0.41099999999999959</v>
      </c>
    </row>
    <row r="28" spans="1:17" x14ac:dyDescent="0.35">
      <c r="A28">
        <f t="shared" si="2"/>
        <v>27</v>
      </c>
      <c r="B28">
        <v>15.035</v>
      </c>
      <c r="C28">
        <v>0</v>
      </c>
      <c r="G28">
        <v>1</v>
      </c>
      <c r="H28">
        <v>-1</v>
      </c>
      <c r="I28">
        <f t="shared" si="4"/>
        <v>125</v>
      </c>
      <c r="J28">
        <v>26</v>
      </c>
      <c r="K28">
        <f t="shared" si="7"/>
        <v>27</v>
      </c>
      <c r="L28">
        <v>10000</v>
      </c>
      <c r="M28">
        <v>0</v>
      </c>
      <c r="N28">
        <f>140/3.6</f>
        <v>38.888888888888886</v>
      </c>
      <c r="Q28">
        <f t="shared" si="1"/>
        <v>0.95400000000000063</v>
      </c>
    </row>
    <row r="29" spans="1:17" x14ac:dyDescent="0.35">
      <c r="A29">
        <f t="shared" si="2"/>
        <v>28</v>
      </c>
      <c r="B29">
        <v>15.506</v>
      </c>
      <c r="C29">
        <v>0</v>
      </c>
      <c r="G29">
        <v>1</v>
      </c>
      <c r="H29">
        <v>1</v>
      </c>
      <c r="I29">
        <f t="shared" si="4"/>
        <v>126</v>
      </c>
      <c r="J29">
        <v>27</v>
      </c>
      <c r="K29">
        <f t="shared" si="7"/>
        <v>28</v>
      </c>
      <c r="L29">
        <v>10000</v>
      </c>
      <c r="M29">
        <v>0</v>
      </c>
      <c r="N29">
        <f t="shared" ref="N29:N54" si="8">140/3.6</f>
        <v>38.888888888888886</v>
      </c>
      <c r="Q29">
        <f t="shared" si="1"/>
        <v>0.47100000000000009</v>
      </c>
    </row>
    <row r="30" spans="1:17" x14ac:dyDescent="0.35">
      <c r="A30">
        <f t="shared" si="2"/>
        <v>29</v>
      </c>
      <c r="B30">
        <v>16.484000000000002</v>
      </c>
      <c r="C30">
        <v>0</v>
      </c>
      <c r="G30">
        <v>1</v>
      </c>
      <c r="H30">
        <v>-1</v>
      </c>
      <c r="I30">
        <f t="shared" si="4"/>
        <v>127</v>
      </c>
      <c r="J30">
        <v>28</v>
      </c>
      <c r="K30">
        <f t="shared" si="7"/>
        <v>29</v>
      </c>
      <c r="L30">
        <v>10000</v>
      </c>
      <c r="M30">
        <v>0</v>
      </c>
      <c r="N30">
        <f t="shared" si="8"/>
        <v>38.888888888888886</v>
      </c>
      <c r="Q30">
        <f t="shared" si="1"/>
        <v>0.97800000000000153</v>
      </c>
    </row>
    <row r="31" spans="1:17" x14ac:dyDescent="0.35">
      <c r="A31">
        <f t="shared" si="2"/>
        <v>30</v>
      </c>
      <c r="B31">
        <v>17.010000000000002</v>
      </c>
      <c r="C31">
        <v>0</v>
      </c>
      <c r="G31">
        <v>1</v>
      </c>
      <c r="H31">
        <v>1</v>
      </c>
      <c r="I31">
        <f t="shared" si="4"/>
        <v>128</v>
      </c>
      <c r="J31">
        <v>29</v>
      </c>
      <c r="K31">
        <f t="shared" si="7"/>
        <v>30</v>
      </c>
      <c r="L31">
        <v>10000</v>
      </c>
      <c r="M31">
        <v>0</v>
      </c>
      <c r="N31">
        <f t="shared" si="8"/>
        <v>38.888888888888886</v>
      </c>
      <c r="Q31">
        <f t="shared" si="1"/>
        <v>0.5259999999999998</v>
      </c>
    </row>
    <row r="32" spans="1:17" x14ac:dyDescent="0.35">
      <c r="A32">
        <f t="shared" si="2"/>
        <v>31</v>
      </c>
      <c r="B32">
        <v>17.21</v>
      </c>
      <c r="C32">
        <v>0</v>
      </c>
      <c r="F32">
        <v>1</v>
      </c>
      <c r="I32">
        <f t="shared" si="4"/>
        <v>129</v>
      </c>
      <c r="J32">
        <v>30</v>
      </c>
      <c r="K32">
        <f t="shared" si="7"/>
        <v>31</v>
      </c>
      <c r="L32">
        <v>10000</v>
      </c>
      <c r="M32">
        <v>0</v>
      </c>
      <c r="N32">
        <f t="shared" si="8"/>
        <v>38.888888888888886</v>
      </c>
      <c r="Q32">
        <f t="shared" si="1"/>
        <v>0.19999999999999929</v>
      </c>
    </row>
    <row r="33" spans="1:17" x14ac:dyDescent="0.35">
      <c r="A33">
        <f t="shared" si="2"/>
        <v>32</v>
      </c>
      <c r="B33">
        <v>17.29</v>
      </c>
      <c r="C33">
        <v>0</v>
      </c>
      <c r="I33">
        <f t="shared" si="4"/>
        <v>130</v>
      </c>
      <c r="J33">
        <v>31</v>
      </c>
      <c r="K33">
        <f t="shared" si="7"/>
        <v>32</v>
      </c>
      <c r="L33">
        <v>10000</v>
      </c>
      <c r="M33">
        <v>0</v>
      </c>
      <c r="N33">
        <f t="shared" si="8"/>
        <v>38.888888888888886</v>
      </c>
      <c r="Q33">
        <f t="shared" si="1"/>
        <v>7.9999999999998295E-2</v>
      </c>
    </row>
    <row r="34" spans="1:17" x14ac:dyDescent="0.35">
      <c r="A34">
        <f t="shared" si="2"/>
        <v>33</v>
      </c>
      <c r="B34">
        <v>17.452999999999999</v>
      </c>
      <c r="C34">
        <v>0</v>
      </c>
      <c r="I34">
        <f t="shared" si="4"/>
        <v>131</v>
      </c>
      <c r="J34">
        <v>32</v>
      </c>
      <c r="K34">
        <f t="shared" si="7"/>
        <v>33</v>
      </c>
      <c r="L34">
        <v>10000</v>
      </c>
      <c r="M34">
        <v>0</v>
      </c>
      <c r="N34">
        <f t="shared" si="8"/>
        <v>38.888888888888886</v>
      </c>
      <c r="Q34">
        <f t="shared" si="1"/>
        <v>0.16300000000000026</v>
      </c>
    </row>
    <row r="35" spans="1:17" x14ac:dyDescent="0.35">
      <c r="A35">
        <f t="shared" si="2"/>
        <v>34</v>
      </c>
      <c r="B35">
        <v>18.033000000000001</v>
      </c>
      <c r="C35">
        <v>0</v>
      </c>
      <c r="G35">
        <v>1</v>
      </c>
      <c r="H35">
        <v>-1</v>
      </c>
      <c r="I35">
        <f t="shared" si="4"/>
        <v>132</v>
      </c>
      <c r="J35">
        <v>33</v>
      </c>
      <c r="K35">
        <f t="shared" si="7"/>
        <v>34</v>
      </c>
      <c r="L35">
        <v>10000</v>
      </c>
      <c r="M35">
        <v>0</v>
      </c>
      <c r="N35">
        <f t="shared" si="8"/>
        <v>38.888888888888886</v>
      </c>
      <c r="Q35">
        <f t="shared" si="1"/>
        <v>0.58000000000000185</v>
      </c>
    </row>
    <row r="36" spans="1:17" x14ac:dyDescent="0.35">
      <c r="A36">
        <f t="shared" si="2"/>
        <v>35</v>
      </c>
      <c r="B36">
        <v>18.646999999999998</v>
      </c>
      <c r="C36">
        <v>0</v>
      </c>
      <c r="I36">
        <f t="shared" si="4"/>
        <v>133</v>
      </c>
      <c r="J36">
        <v>34</v>
      </c>
      <c r="K36">
        <f t="shared" si="7"/>
        <v>35</v>
      </c>
      <c r="L36">
        <v>10000</v>
      </c>
      <c r="M36">
        <v>0</v>
      </c>
      <c r="N36">
        <f t="shared" si="8"/>
        <v>38.888888888888886</v>
      </c>
      <c r="Q36">
        <f t="shared" si="1"/>
        <v>0.61399999999999721</v>
      </c>
    </row>
    <row r="37" spans="1:17" x14ac:dyDescent="0.35">
      <c r="A37">
        <f t="shared" si="2"/>
        <v>36</v>
      </c>
      <c r="B37">
        <v>18.75</v>
      </c>
      <c r="C37">
        <v>0</v>
      </c>
      <c r="D37" t="s">
        <v>15</v>
      </c>
      <c r="I37">
        <f t="shared" si="4"/>
        <v>134</v>
      </c>
      <c r="J37">
        <v>35</v>
      </c>
      <c r="K37">
        <f t="shared" si="7"/>
        <v>36</v>
      </c>
      <c r="L37">
        <v>10000</v>
      </c>
      <c r="M37">
        <v>0</v>
      </c>
      <c r="N37">
        <f t="shared" si="8"/>
        <v>38.888888888888886</v>
      </c>
      <c r="Q37">
        <f t="shared" si="1"/>
        <v>0.10300000000000153</v>
      </c>
    </row>
    <row r="38" spans="1:17" x14ac:dyDescent="0.35">
      <c r="A38">
        <f t="shared" si="2"/>
        <v>37</v>
      </c>
      <c r="B38">
        <v>18.823</v>
      </c>
      <c r="C38">
        <v>0</v>
      </c>
      <c r="G38">
        <v>1</v>
      </c>
      <c r="H38">
        <v>1</v>
      </c>
      <c r="I38">
        <f t="shared" si="4"/>
        <v>135</v>
      </c>
      <c r="J38">
        <v>36</v>
      </c>
      <c r="K38">
        <f t="shared" si="7"/>
        <v>37</v>
      </c>
      <c r="L38">
        <v>10000</v>
      </c>
      <c r="M38">
        <v>0</v>
      </c>
      <c r="N38">
        <f t="shared" si="8"/>
        <v>38.888888888888886</v>
      </c>
      <c r="Q38">
        <f t="shared" si="1"/>
        <v>7.3000000000000398E-2</v>
      </c>
    </row>
    <row r="39" spans="1:17" x14ac:dyDescent="0.35">
      <c r="A39">
        <f t="shared" si="2"/>
        <v>38</v>
      </c>
      <c r="B39">
        <v>18.96</v>
      </c>
      <c r="C39">
        <v>0</v>
      </c>
      <c r="I39">
        <f t="shared" si="4"/>
        <v>136</v>
      </c>
      <c r="J39">
        <v>37</v>
      </c>
      <c r="K39">
        <f t="shared" si="7"/>
        <v>38</v>
      </c>
      <c r="L39">
        <v>10000</v>
      </c>
      <c r="M39">
        <v>0</v>
      </c>
      <c r="N39">
        <f t="shared" si="8"/>
        <v>38.888888888888886</v>
      </c>
      <c r="Q39">
        <f t="shared" si="1"/>
        <v>0.13700000000000045</v>
      </c>
    </row>
    <row r="40" spans="1:17" x14ac:dyDescent="0.35">
      <c r="A40">
        <f t="shared" si="2"/>
        <v>39</v>
      </c>
      <c r="B40">
        <v>19.05</v>
      </c>
      <c r="C40">
        <v>0</v>
      </c>
      <c r="I40">
        <f t="shared" si="4"/>
        <v>137</v>
      </c>
      <c r="J40">
        <v>38</v>
      </c>
      <c r="K40">
        <f t="shared" si="7"/>
        <v>39</v>
      </c>
      <c r="L40">
        <v>10000</v>
      </c>
      <c r="M40">
        <v>0</v>
      </c>
      <c r="N40">
        <f t="shared" si="8"/>
        <v>38.888888888888886</v>
      </c>
      <c r="Q40">
        <f t="shared" si="1"/>
        <v>8.9999999999999858E-2</v>
      </c>
    </row>
    <row r="41" spans="1:17" x14ac:dyDescent="0.35">
      <c r="A41">
        <f t="shared" si="2"/>
        <v>40</v>
      </c>
      <c r="B41">
        <v>19.183</v>
      </c>
      <c r="C41">
        <v>0</v>
      </c>
      <c r="I41">
        <f t="shared" si="4"/>
        <v>138</v>
      </c>
      <c r="J41">
        <v>39</v>
      </c>
      <c r="K41">
        <f t="shared" si="7"/>
        <v>40</v>
      </c>
      <c r="L41">
        <v>10000</v>
      </c>
      <c r="M41">
        <v>0</v>
      </c>
      <c r="N41">
        <f t="shared" si="8"/>
        <v>38.888888888888886</v>
      </c>
      <c r="Q41">
        <f t="shared" si="1"/>
        <v>0.13299999999999912</v>
      </c>
    </row>
    <row r="42" spans="1:17" x14ac:dyDescent="0.35">
      <c r="A42">
        <f t="shared" si="2"/>
        <v>41</v>
      </c>
      <c r="B42">
        <v>19.422999999999998</v>
      </c>
      <c r="C42">
        <v>0</v>
      </c>
      <c r="I42">
        <f t="shared" si="4"/>
        <v>139</v>
      </c>
      <c r="J42">
        <v>40</v>
      </c>
      <c r="K42">
        <f t="shared" si="7"/>
        <v>41</v>
      </c>
      <c r="L42">
        <v>10000</v>
      </c>
      <c r="M42">
        <v>0</v>
      </c>
      <c r="N42">
        <f t="shared" si="8"/>
        <v>38.888888888888886</v>
      </c>
      <c r="Q42">
        <f t="shared" si="1"/>
        <v>0.23999999999999844</v>
      </c>
    </row>
    <row r="43" spans="1:17" x14ac:dyDescent="0.35">
      <c r="A43">
        <f t="shared" si="2"/>
        <v>42</v>
      </c>
      <c r="B43">
        <v>19.507000000000001</v>
      </c>
      <c r="C43">
        <v>0</v>
      </c>
      <c r="I43">
        <f t="shared" si="4"/>
        <v>140</v>
      </c>
      <c r="J43">
        <v>41</v>
      </c>
      <c r="K43">
        <f t="shared" si="7"/>
        <v>42</v>
      </c>
      <c r="L43">
        <v>10000</v>
      </c>
      <c r="M43">
        <v>0</v>
      </c>
      <c r="N43">
        <f t="shared" si="8"/>
        <v>38.888888888888886</v>
      </c>
      <c r="Q43">
        <f t="shared" si="1"/>
        <v>8.4000000000003183E-2</v>
      </c>
    </row>
    <row r="44" spans="1:17" x14ac:dyDescent="0.35">
      <c r="A44">
        <f t="shared" si="2"/>
        <v>43</v>
      </c>
      <c r="B44">
        <v>19.943000000000001</v>
      </c>
      <c r="C44">
        <v>0</v>
      </c>
      <c r="G44">
        <v>1</v>
      </c>
      <c r="H44">
        <v>-1</v>
      </c>
      <c r="I44">
        <f t="shared" si="4"/>
        <v>141</v>
      </c>
      <c r="J44">
        <v>42</v>
      </c>
      <c r="K44">
        <f t="shared" si="7"/>
        <v>43</v>
      </c>
      <c r="L44">
        <v>10000</v>
      </c>
      <c r="M44">
        <v>0</v>
      </c>
      <c r="N44">
        <f t="shared" si="8"/>
        <v>38.888888888888886</v>
      </c>
      <c r="Q44">
        <f t="shared" si="1"/>
        <v>0.43599999999999994</v>
      </c>
    </row>
    <row r="45" spans="1:17" x14ac:dyDescent="0.35">
      <c r="A45">
        <f t="shared" si="2"/>
        <v>44</v>
      </c>
      <c r="B45">
        <v>20.353999999999999</v>
      </c>
      <c r="C45">
        <v>0</v>
      </c>
      <c r="G45">
        <v>1</v>
      </c>
      <c r="H45">
        <v>1</v>
      </c>
      <c r="I45">
        <f t="shared" si="4"/>
        <v>142</v>
      </c>
      <c r="J45">
        <v>43</v>
      </c>
      <c r="K45">
        <f t="shared" si="7"/>
        <v>44</v>
      </c>
      <c r="L45">
        <v>10000</v>
      </c>
      <c r="M45">
        <v>0</v>
      </c>
      <c r="N45">
        <f t="shared" si="8"/>
        <v>38.888888888888886</v>
      </c>
      <c r="Q45">
        <f t="shared" si="1"/>
        <v>0.41099999999999781</v>
      </c>
    </row>
    <row r="46" spans="1:17" x14ac:dyDescent="0.35">
      <c r="A46">
        <f t="shared" si="2"/>
        <v>45</v>
      </c>
      <c r="B46">
        <v>21.347999999999999</v>
      </c>
      <c r="C46">
        <v>0</v>
      </c>
      <c r="G46">
        <v>1</v>
      </c>
      <c r="H46">
        <v>-1</v>
      </c>
      <c r="I46">
        <f t="shared" si="4"/>
        <v>143</v>
      </c>
      <c r="J46">
        <v>44</v>
      </c>
      <c r="K46">
        <f t="shared" si="7"/>
        <v>45</v>
      </c>
      <c r="L46">
        <v>10000</v>
      </c>
      <c r="M46">
        <v>0</v>
      </c>
      <c r="N46">
        <f t="shared" si="8"/>
        <v>38.888888888888886</v>
      </c>
      <c r="Q46">
        <f t="shared" si="1"/>
        <v>0.99399999999999977</v>
      </c>
    </row>
    <row r="47" spans="1:17" x14ac:dyDescent="0.35">
      <c r="A47">
        <f t="shared" si="2"/>
        <v>46</v>
      </c>
      <c r="B47">
        <v>21.366</v>
      </c>
      <c r="C47">
        <v>0</v>
      </c>
      <c r="G47">
        <v>1</v>
      </c>
      <c r="H47">
        <v>-1</v>
      </c>
      <c r="I47">
        <f t="shared" si="4"/>
        <v>144</v>
      </c>
      <c r="J47">
        <v>45</v>
      </c>
      <c r="K47">
        <f t="shared" si="7"/>
        <v>46</v>
      </c>
      <c r="L47">
        <v>10000</v>
      </c>
      <c r="M47">
        <v>0</v>
      </c>
      <c r="N47">
        <f t="shared" si="8"/>
        <v>38.888888888888886</v>
      </c>
      <c r="Q47">
        <f t="shared" si="1"/>
        <v>1.8000000000000682E-2</v>
      </c>
    </row>
    <row r="48" spans="1:17" x14ac:dyDescent="0.35">
      <c r="A48">
        <f t="shared" si="2"/>
        <v>47</v>
      </c>
      <c r="B48">
        <v>21.943999999999999</v>
      </c>
      <c r="C48">
        <v>0</v>
      </c>
      <c r="G48">
        <v>1</v>
      </c>
      <c r="H48">
        <v>1</v>
      </c>
      <c r="I48">
        <f t="shared" si="4"/>
        <v>145</v>
      </c>
      <c r="J48">
        <v>46</v>
      </c>
      <c r="K48">
        <f t="shared" si="7"/>
        <v>47</v>
      </c>
      <c r="L48">
        <v>10000</v>
      </c>
      <c r="M48">
        <v>0</v>
      </c>
      <c r="N48">
        <f t="shared" si="8"/>
        <v>38.888888888888886</v>
      </c>
      <c r="Q48">
        <f t="shared" si="1"/>
        <v>0.5779999999999994</v>
      </c>
    </row>
    <row r="49" spans="1:17" x14ac:dyDescent="0.35">
      <c r="A49">
        <f t="shared" si="2"/>
        <v>48</v>
      </c>
      <c r="B49">
        <v>22.951000000000001</v>
      </c>
      <c r="C49">
        <v>0</v>
      </c>
      <c r="G49">
        <v>1</v>
      </c>
      <c r="H49">
        <v>-1</v>
      </c>
      <c r="I49">
        <f t="shared" si="4"/>
        <v>146</v>
      </c>
      <c r="J49">
        <v>47</v>
      </c>
      <c r="K49">
        <f t="shared" si="7"/>
        <v>48</v>
      </c>
      <c r="L49">
        <v>10000</v>
      </c>
      <c r="M49">
        <v>0</v>
      </c>
      <c r="N49">
        <f t="shared" si="8"/>
        <v>38.888888888888886</v>
      </c>
      <c r="Q49">
        <f t="shared" si="1"/>
        <v>1.0070000000000014</v>
      </c>
    </row>
    <row r="50" spans="1:17" x14ac:dyDescent="0.35">
      <c r="A50">
        <f t="shared" si="2"/>
        <v>49</v>
      </c>
      <c r="B50">
        <v>23.686</v>
      </c>
      <c r="C50">
        <v>0</v>
      </c>
      <c r="G50">
        <v>1</v>
      </c>
      <c r="H50">
        <v>1</v>
      </c>
      <c r="I50">
        <f t="shared" si="4"/>
        <v>147</v>
      </c>
      <c r="J50">
        <v>48</v>
      </c>
      <c r="K50">
        <f t="shared" si="7"/>
        <v>49</v>
      </c>
      <c r="L50">
        <v>10000</v>
      </c>
      <c r="M50">
        <v>0</v>
      </c>
      <c r="N50">
        <f t="shared" si="8"/>
        <v>38.888888888888886</v>
      </c>
      <c r="Q50">
        <f t="shared" si="1"/>
        <v>0.73499999999999943</v>
      </c>
    </row>
    <row r="51" spans="1:17" x14ac:dyDescent="0.35">
      <c r="A51">
        <f t="shared" si="2"/>
        <v>50</v>
      </c>
      <c r="B51">
        <v>24.56</v>
      </c>
      <c r="C51">
        <v>0</v>
      </c>
      <c r="G51">
        <v>1</v>
      </c>
      <c r="H51">
        <v>-1</v>
      </c>
      <c r="I51">
        <f t="shared" si="4"/>
        <v>148</v>
      </c>
      <c r="J51">
        <v>49</v>
      </c>
      <c r="K51">
        <f t="shared" si="7"/>
        <v>50</v>
      </c>
      <c r="L51">
        <v>10000</v>
      </c>
      <c r="M51">
        <v>0</v>
      </c>
      <c r="N51">
        <f t="shared" si="8"/>
        <v>38.888888888888886</v>
      </c>
      <c r="Q51">
        <f t="shared" si="1"/>
        <v>0.87399999999999878</v>
      </c>
    </row>
    <row r="52" spans="1:17" x14ac:dyDescent="0.35">
      <c r="A52">
        <f t="shared" si="2"/>
        <v>51</v>
      </c>
      <c r="B52">
        <v>25.402000000000001</v>
      </c>
      <c r="C52">
        <v>0</v>
      </c>
      <c r="G52">
        <v>1</v>
      </c>
      <c r="H52">
        <v>1</v>
      </c>
      <c r="I52">
        <f t="shared" si="4"/>
        <v>149</v>
      </c>
      <c r="J52">
        <v>50</v>
      </c>
      <c r="K52">
        <f t="shared" si="7"/>
        <v>51</v>
      </c>
      <c r="L52">
        <v>10000</v>
      </c>
      <c r="M52">
        <v>0</v>
      </c>
      <c r="N52">
        <f t="shared" si="8"/>
        <v>38.888888888888886</v>
      </c>
      <c r="Q52">
        <f t="shared" si="1"/>
        <v>0.8420000000000023</v>
      </c>
    </row>
    <row r="53" spans="1:17" x14ac:dyDescent="0.35">
      <c r="A53">
        <f t="shared" si="2"/>
        <v>52</v>
      </c>
      <c r="B53">
        <v>26.234999999999999</v>
      </c>
      <c r="C53">
        <v>0</v>
      </c>
      <c r="G53">
        <v>1</v>
      </c>
      <c r="H53">
        <v>-1</v>
      </c>
      <c r="I53">
        <f t="shared" si="4"/>
        <v>150</v>
      </c>
      <c r="J53">
        <v>51</v>
      </c>
      <c r="K53">
        <f t="shared" si="7"/>
        <v>52</v>
      </c>
      <c r="L53">
        <v>10000</v>
      </c>
      <c r="M53">
        <v>0</v>
      </c>
      <c r="N53">
        <f t="shared" si="8"/>
        <v>38.888888888888886</v>
      </c>
      <c r="Q53">
        <f t="shared" si="1"/>
        <v>0.83299999999999841</v>
      </c>
    </row>
    <row r="54" spans="1:17" x14ac:dyDescent="0.35">
      <c r="A54">
        <f t="shared" si="2"/>
        <v>53</v>
      </c>
      <c r="B54">
        <v>26.827999999999999</v>
      </c>
      <c r="C54">
        <v>0</v>
      </c>
      <c r="G54">
        <v>1</v>
      </c>
      <c r="H54">
        <v>1</v>
      </c>
      <c r="I54">
        <f t="shared" si="4"/>
        <v>151</v>
      </c>
      <c r="J54">
        <v>52</v>
      </c>
      <c r="K54">
        <f t="shared" si="7"/>
        <v>53</v>
      </c>
      <c r="L54">
        <v>10000</v>
      </c>
      <c r="M54">
        <v>0</v>
      </c>
      <c r="N54">
        <f t="shared" si="8"/>
        <v>38.888888888888886</v>
      </c>
      <c r="Q54">
        <f t="shared" si="1"/>
        <v>0.59299999999999997</v>
      </c>
    </row>
    <row r="55" spans="1:17" x14ac:dyDescent="0.35">
      <c r="A55">
        <f t="shared" si="2"/>
        <v>54</v>
      </c>
      <c r="B55">
        <v>27.425000000000001</v>
      </c>
      <c r="C55">
        <v>0</v>
      </c>
      <c r="D55" t="s">
        <v>23</v>
      </c>
      <c r="I55">
        <f t="shared" si="4"/>
        <v>152</v>
      </c>
      <c r="J55">
        <v>53</v>
      </c>
      <c r="K55">
        <f t="shared" si="7"/>
        <v>54</v>
      </c>
      <c r="L55">
        <v>10000</v>
      </c>
      <c r="M55">
        <v>0</v>
      </c>
      <c r="N55">
        <f>200/3.6</f>
        <v>55.555555555555557</v>
      </c>
      <c r="Q55">
        <f t="shared" si="1"/>
        <v>0.59700000000000131</v>
      </c>
    </row>
    <row r="56" spans="1:17" x14ac:dyDescent="0.35">
      <c r="A56">
        <f t="shared" si="2"/>
        <v>55</v>
      </c>
      <c r="B56">
        <v>27.43</v>
      </c>
      <c r="C56">
        <v>0</v>
      </c>
      <c r="F56">
        <v>1</v>
      </c>
      <c r="I56">
        <f t="shared" si="4"/>
        <v>153</v>
      </c>
      <c r="J56">
        <v>54</v>
      </c>
      <c r="K56">
        <f t="shared" si="7"/>
        <v>55</v>
      </c>
      <c r="L56">
        <v>10000</v>
      </c>
      <c r="M56">
        <v>0</v>
      </c>
      <c r="N56">
        <f>200/3.6</f>
        <v>55.555555555555557</v>
      </c>
      <c r="Q56">
        <f t="shared" si="1"/>
        <v>4.9999999999990052E-3</v>
      </c>
    </row>
    <row r="57" spans="1:17" x14ac:dyDescent="0.35">
      <c r="A57">
        <f t="shared" si="2"/>
        <v>56</v>
      </c>
      <c r="B57">
        <v>27.62</v>
      </c>
      <c r="C57">
        <v>0</v>
      </c>
      <c r="I57">
        <f t="shared" si="4"/>
        <v>154</v>
      </c>
      <c r="J57">
        <v>55</v>
      </c>
      <c r="K57">
        <f t="shared" si="7"/>
        <v>56</v>
      </c>
      <c r="L57">
        <v>10000</v>
      </c>
      <c r="M57">
        <v>0</v>
      </c>
      <c r="N57">
        <f t="shared" ref="N57:N64" si="9">200/3.6</f>
        <v>55.555555555555557</v>
      </c>
      <c r="Q57">
        <f t="shared" si="1"/>
        <v>0.19000000000000128</v>
      </c>
    </row>
    <row r="58" spans="1:17" x14ac:dyDescent="0.35">
      <c r="A58">
        <f t="shared" si="2"/>
        <v>57</v>
      </c>
      <c r="B58">
        <v>28.074000000000002</v>
      </c>
      <c r="C58">
        <v>0</v>
      </c>
      <c r="G58">
        <v>1</v>
      </c>
      <c r="H58">
        <v>-1</v>
      </c>
      <c r="I58">
        <f t="shared" si="4"/>
        <v>155</v>
      </c>
      <c r="J58">
        <v>56</v>
      </c>
      <c r="K58">
        <f t="shared" si="7"/>
        <v>57</v>
      </c>
      <c r="L58">
        <v>10000</v>
      </c>
      <c r="M58">
        <v>0</v>
      </c>
      <c r="N58">
        <f t="shared" si="9"/>
        <v>55.555555555555557</v>
      </c>
      <c r="Q58">
        <f t="shared" si="1"/>
        <v>0.45400000000000063</v>
      </c>
    </row>
    <row r="59" spans="1:17" x14ac:dyDescent="0.35">
      <c r="A59">
        <f t="shared" si="2"/>
        <v>58</v>
      </c>
      <c r="B59">
        <v>28.3</v>
      </c>
      <c r="C59">
        <v>0</v>
      </c>
      <c r="I59">
        <f t="shared" si="4"/>
        <v>156</v>
      </c>
      <c r="J59">
        <v>57</v>
      </c>
      <c r="K59">
        <f t="shared" si="7"/>
        <v>58</v>
      </c>
      <c r="L59">
        <v>10000</v>
      </c>
      <c r="M59">
        <v>0</v>
      </c>
      <c r="N59">
        <f t="shared" si="9"/>
        <v>55.555555555555557</v>
      </c>
      <c r="Q59">
        <f t="shared" si="1"/>
        <v>0.22599999999999909</v>
      </c>
    </row>
    <row r="60" spans="1:17" x14ac:dyDescent="0.35">
      <c r="A60">
        <f t="shared" si="2"/>
        <v>59</v>
      </c>
      <c r="B60">
        <v>28.63</v>
      </c>
      <c r="C60">
        <v>0</v>
      </c>
      <c r="I60">
        <f t="shared" si="4"/>
        <v>157</v>
      </c>
      <c r="J60">
        <v>58</v>
      </c>
      <c r="K60">
        <f t="shared" si="7"/>
        <v>59</v>
      </c>
      <c r="L60">
        <v>10000</v>
      </c>
      <c r="M60">
        <v>0</v>
      </c>
      <c r="N60">
        <f t="shared" si="9"/>
        <v>55.555555555555557</v>
      </c>
      <c r="Q60">
        <f t="shared" si="1"/>
        <v>0.32999999999999829</v>
      </c>
    </row>
    <row r="61" spans="1:17" x14ac:dyDescent="0.35">
      <c r="A61">
        <f t="shared" si="2"/>
        <v>60</v>
      </c>
      <c r="B61">
        <v>28.678999999999998</v>
      </c>
      <c r="C61">
        <v>0</v>
      </c>
      <c r="G61">
        <v>1</v>
      </c>
      <c r="H61">
        <v>1</v>
      </c>
      <c r="I61">
        <f t="shared" si="4"/>
        <v>158</v>
      </c>
      <c r="J61">
        <v>59</v>
      </c>
      <c r="K61">
        <f t="shared" si="7"/>
        <v>60</v>
      </c>
      <c r="L61">
        <v>10000</v>
      </c>
      <c r="M61">
        <v>0</v>
      </c>
      <c r="N61">
        <f t="shared" si="9"/>
        <v>55.555555555555557</v>
      </c>
      <c r="Q61">
        <f t="shared" si="1"/>
        <v>4.8999999999999488E-2</v>
      </c>
    </row>
    <row r="62" spans="1:17" x14ac:dyDescent="0.35">
      <c r="A62">
        <f t="shared" si="2"/>
        <v>61</v>
      </c>
      <c r="B62">
        <v>29.329000000000001</v>
      </c>
      <c r="C62">
        <v>0</v>
      </c>
      <c r="I62">
        <f t="shared" si="4"/>
        <v>159</v>
      </c>
      <c r="J62">
        <v>60</v>
      </c>
      <c r="K62">
        <f t="shared" si="7"/>
        <v>61</v>
      </c>
      <c r="L62">
        <v>10000</v>
      </c>
      <c r="M62">
        <v>0</v>
      </c>
      <c r="N62">
        <f t="shared" si="9"/>
        <v>55.555555555555557</v>
      </c>
      <c r="Q62">
        <f t="shared" si="1"/>
        <v>0.65000000000000213</v>
      </c>
    </row>
    <row r="63" spans="1:17" x14ac:dyDescent="0.35">
      <c r="A63">
        <f t="shared" si="2"/>
        <v>62</v>
      </c>
      <c r="B63">
        <v>29.565000000000001</v>
      </c>
      <c r="C63">
        <v>0</v>
      </c>
      <c r="G63">
        <v>1</v>
      </c>
      <c r="H63">
        <v>-1</v>
      </c>
      <c r="I63">
        <f t="shared" si="4"/>
        <v>160</v>
      </c>
      <c r="J63">
        <v>61</v>
      </c>
      <c r="K63">
        <f t="shared" si="7"/>
        <v>62</v>
      </c>
      <c r="L63">
        <v>10000</v>
      </c>
      <c r="M63">
        <v>0</v>
      </c>
      <c r="N63">
        <f t="shared" si="9"/>
        <v>55.555555555555557</v>
      </c>
      <c r="Q63">
        <f t="shared" si="1"/>
        <v>0.23600000000000065</v>
      </c>
    </row>
    <row r="64" spans="1:17" x14ac:dyDescent="0.35">
      <c r="A64">
        <f t="shared" si="2"/>
        <v>63</v>
      </c>
      <c r="B64">
        <v>30</v>
      </c>
      <c r="C64">
        <v>0</v>
      </c>
      <c r="I64">
        <f t="shared" si="4"/>
        <v>161</v>
      </c>
      <c r="J64">
        <v>62</v>
      </c>
      <c r="K64">
        <f t="shared" si="7"/>
        <v>63</v>
      </c>
      <c r="L64">
        <v>10000</v>
      </c>
      <c r="M64">
        <v>0</v>
      </c>
      <c r="N64">
        <f t="shared" si="9"/>
        <v>55.555555555555557</v>
      </c>
      <c r="Q64">
        <f t="shared" si="1"/>
        <v>0.43499999999999872</v>
      </c>
    </row>
    <row r="65" spans="1:17" x14ac:dyDescent="0.35">
      <c r="A65">
        <f t="shared" si="2"/>
        <v>64</v>
      </c>
      <c r="B65">
        <v>30.052</v>
      </c>
      <c r="C65">
        <v>0</v>
      </c>
      <c r="I65">
        <f t="shared" si="4"/>
        <v>162</v>
      </c>
      <c r="J65">
        <v>63</v>
      </c>
      <c r="K65">
        <f t="shared" si="7"/>
        <v>64</v>
      </c>
      <c r="L65">
        <v>10000</v>
      </c>
      <c r="M65">
        <v>0</v>
      </c>
      <c r="N65">
        <f>300/3.6</f>
        <v>83.333333333333329</v>
      </c>
      <c r="Q65">
        <f t="shared" si="1"/>
        <v>5.1999999999999602E-2</v>
      </c>
    </row>
    <row r="66" spans="1:17" x14ac:dyDescent="0.35">
      <c r="A66">
        <f t="shared" si="2"/>
        <v>65</v>
      </c>
      <c r="B66">
        <v>30.34</v>
      </c>
      <c r="C66">
        <v>0</v>
      </c>
      <c r="G66">
        <v>1</v>
      </c>
      <c r="H66">
        <v>1</v>
      </c>
      <c r="I66">
        <f t="shared" si="4"/>
        <v>163</v>
      </c>
      <c r="J66">
        <v>64</v>
      </c>
      <c r="K66">
        <f t="shared" si="7"/>
        <v>65</v>
      </c>
      <c r="L66">
        <v>10000</v>
      </c>
      <c r="M66">
        <v>0</v>
      </c>
      <c r="N66">
        <f t="shared" ref="N66:N112" si="10">300/3.6</f>
        <v>83.333333333333329</v>
      </c>
      <c r="Q66">
        <f t="shared" si="1"/>
        <v>0.28800000000000026</v>
      </c>
    </row>
    <row r="67" spans="1:17" x14ac:dyDescent="0.35">
      <c r="A67">
        <f t="shared" si="2"/>
        <v>66</v>
      </c>
      <c r="B67">
        <v>31.863</v>
      </c>
      <c r="C67">
        <v>0</v>
      </c>
      <c r="G67">
        <v>1</v>
      </c>
      <c r="H67">
        <v>1</v>
      </c>
      <c r="I67">
        <f t="shared" si="4"/>
        <v>164</v>
      </c>
      <c r="J67">
        <v>65</v>
      </c>
      <c r="K67">
        <f t="shared" si="7"/>
        <v>66</v>
      </c>
      <c r="L67">
        <v>10000</v>
      </c>
      <c r="M67">
        <v>0</v>
      </c>
      <c r="N67">
        <f t="shared" si="10"/>
        <v>83.333333333333329</v>
      </c>
      <c r="Q67">
        <f t="shared" si="1"/>
        <v>1.5229999999999997</v>
      </c>
    </row>
    <row r="68" spans="1:17" x14ac:dyDescent="0.35">
      <c r="A68">
        <f t="shared" si="2"/>
        <v>67</v>
      </c>
      <c r="B68">
        <v>31.920999999999999</v>
      </c>
      <c r="C68">
        <v>0</v>
      </c>
      <c r="G68">
        <v>1</v>
      </c>
      <c r="H68">
        <v>-1</v>
      </c>
      <c r="I68">
        <f t="shared" si="4"/>
        <v>165</v>
      </c>
      <c r="J68">
        <v>66</v>
      </c>
      <c r="K68">
        <f t="shared" si="7"/>
        <v>67</v>
      </c>
      <c r="L68">
        <v>10000</v>
      </c>
      <c r="M68">
        <v>0</v>
      </c>
      <c r="N68">
        <f t="shared" si="10"/>
        <v>83.333333333333329</v>
      </c>
      <c r="Q68">
        <f t="shared" ref="Q68:Q130" si="11">B68-B67</f>
        <v>5.7999999999999829E-2</v>
      </c>
    </row>
    <row r="69" spans="1:17" x14ac:dyDescent="0.35">
      <c r="A69">
        <f t="shared" si="2"/>
        <v>68</v>
      </c>
      <c r="B69">
        <v>33.564999999999998</v>
      </c>
      <c r="C69">
        <v>0</v>
      </c>
      <c r="G69">
        <v>1</v>
      </c>
      <c r="H69">
        <v>1</v>
      </c>
      <c r="I69">
        <f t="shared" si="4"/>
        <v>166</v>
      </c>
      <c r="J69">
        <v>67</v>
      </c>
      <c r="K69">
        <f t="shared" si="7"/>
        <v>68</v>
      </c>
      <c r="L69">
        <v>10000</v>
      </c>
      <c r="M69">
        <v>0</v>
      </c>
      <c r="N69">
        <f t="shared" si="10"/>
        <v>83.333333333333329</v>
      </c>
      <c r="Q69">
        <f t="shared" si="11"/>
        <v>1.6439999999999984</v>
      </c>
    </row>
    <row r="70" spans="1:17" x14ac:dyDescent="0.35">
      <c r="A70">
        <f t="shared" si="2"/>
        <v>69</v>
      </c>
      <c r="B70">
        <v>35.335999999999999</v>
      </c>
      <c r="C70">
        <v>0</v>
      </c>
      <c r="G70">
        <v>1</v>
      </c>
      <c r="H70">
        <v>-1</v>
      </c>
      <c r="I70">
        <f t="shared" si="4"/>
        <v>167</v>
      </c>
      <c r="J70">
        <v>68</v>
      </c>
      <c r="K70">
        <f t="shared" si="7"/>
        <v>69</v>
      </c>
      <c r="L70">
        <v>10000</v>
      </c>
      <c r="M70">
        <v>0</v>
      </c>
      <c r="N70">
        <f t="shared" si="10"/>
        <v>83.333333333333329</v>
      </c>
      <c r="Q70">
        <f t="shared" si="11"/>
        <v>1.7710000000000008</v>
      </c>
    </row>
    <row r="71" spans="1:17" x14ac:dyDescent="0.35">
      <c r="A71">
        <f t="shared" ref="A71:A130" si="12">A70+1</f>
        <v>70</v>
      </c>
      <c r="B71">
        <v>35.39</v>
      </c>
      <c r="C71">
        <v>0</v>
      </c>
      <c r="G71">
        <v>1</v>
      </c>
      <c r="H71">
        <v>1</v>
      </c>
      <c r="I71">
        <f t="shared" si="4"/>
        <v>168</v>
      </c>
      <c r="J71">
        <v>69</v>
      </c>
      <c r="K71">
        <f t="shared" si="7"/>
        <v>70</v>
      </c>
      <c r="L71">
        <v>10000</v>
      </c>
      <c r="M71">
        <v>0</v>
      </c>
      <c r="N71">
        <f t="shared" si="10"/>
        <v>83.333333333333329</v>
      </c>
      <c r="Q71">
        <f t="shared" si="11"/>
        <v>5.4000000000002046E-2</v>
      </c>
    </row>
    <row r="72" spans="1:17" x14ac:dyDescent="0.35">
      <c r="A72">
        <f t="shared" si="12"/>
        <v>71</v>
      </c>
      <c r="B72">
        <v>36.622999999999998</v>
      </c>
      <c r="C72">
        <v>0</v>
      </c>
      <c r="G72">
        <v>1</v>
      </c>
      <c r="H72">
        <v>-1</v>
      </c>
      <c r="I72">
        <f t="shared" si="4"/>
        <v>169</v>
      </c>
      <c r="J72">
        <v>70</v>
      </c>
      <c r="K72">
        <f t="shared" si="7"/>
        <v>71</v>
      </c>
      <c r="L72">
        <v>10000</v>
      </c>
      <c r="M72">
        <v>0</v>
      </c>
      <c r="N72">
        <f t="shared" si="10"/>
        <v>83.333333333333329</v>
      </c>
      <c r="Q72">
        <f t="shared" si="11"/>
        <v>1.232999999999997</v>
      </c>
    </row>
    <row r="73" spans="1:17" x14ac:dyDescent="0.35">
      <c r="A73">
        <f t="shared" si="12"/>
        <v>72</v>
      </c>
      <c r="B73">
        <v>37.012999999999998</v>
      </c>
      <c r="C73">
        <v>0</v>
      </c>
      <c r="G73">
        <v>1</v>
      </c>
      <c r="H73">
        <v>1</v>
      </c>
      <c r="I73">
        <f t="shared" si="4"/>
        <v>170</v>
      </c>
      <c r="J73">
        <v>71</v>
      </c>
      <c r="K73">
        <f t="shared" si="7"/>
        <v>72</v>
      </c>
      <c r="L73">
        <v>10000</v>
      </c>
      <c r="M73">
        <v>0</v>
      </c>
      <c r="N73">
        <f t="shared" si="10"/>
        <v>83.333333333333329</v>
      </c>
      <c r="Q73">
        <f t="shared" si="11"/>
        <v>0.39000000000000057</v>
      </c>
    </row>
    <row r="74" spans="1:17" x14ac:dyDescent="0.35">
      <c r="A74">
        <f t="shared" si="12"/>
        <v>73</v>
      </c>
      <c r="B74">
        <v>37.070999999999998</v>
      </c>
      <c r="C74">
        <v>0</v>
      </c>
      <c r="G74">
        <v>1</v>
      </c>
      <c r="H74">
        <v>-1</v>
      </c>
      <c r="I74">
        <f t="shared" si="4"/>
        <v>171</v>
      </c>
      <c r="J74">
        <v>72</v>
      </c>
      <c r="K74">
        <f t="shared" si="7"/>
        <v>73</v>
      </c>
      <c r="L74">
        <v>10000</v>
      </c>
      <c r="M74">
        <v>0</v>
      </c>
      <c r="N74">
        <f t="shared" si="10"/>
        <v>83.333333333333329</v>
      </c>
      <c r="Q74">
        <f t="shared" si="11"/>
        <v>5.7999999999999829E-2</v>
      </c>
    </row>
    <row r="75" spans="1:17" x14ac:dyDescent="0.35">
      <c r="A75">
        <f t="shared" si="12"/>
        <v>74</v>
      </c>
      <c r="B75">
        <v>38.612000000000002</v>
      </c>
      <c r="C75">
        <v>0</v>
      </c>
      <c r="G75">
        <v>1</v>
      </c>
      <c r="H75">
        <v>1</v>
      </c>
      <c r="I75">
        <f t="shared" si="4"/>
        <v>172</v>
      </c>
      <c r="J75">
        <v>73</v>
      </c>
      <c r="K75">
        <f t="shared" si="7"/>
        <v>74</v>
      </c>
      <c r="L75">
        <v>10000</v>
      </c>
      <c r="M75">
        <v>0</v>
      </c>
      <c r="N75">
        <f t="shared" si="10"/>
        <v>83.333333333333329</v>
      </c>
      <c r="Q75">
        <f t="shared" si="11"/>
        <v>1.5410000000000039</v>
      </c>
    </row>
    <row r="76" spans="1:17" x14ac:dyDescent="0.35">
      <c r="A76">
        <f t="shared" si="12"/>
        <v>75</v>
      </c>
      <c r="B76">
        <v>39.33</v>
      </c>
      <c r="C76">
        <v>0</v>
      </c>
      <c r="G76">
        <v>1</v>
      </c>
      <c r="H76">
        <v>-1</v>
      </c>
      <c r="I76">
        <f t="shared" ref="I76:I130" si="13">I75+1</f>
        <v>173</v>
      </c>
      <c r="J76">
        <v>74</v>
      </c>
      <c r="K76">
        <f t="shared" si="7"/>
        <v>75</v>
      </c>
      <c r="L76">
        <v>10000</v>
      </c>
      <c r="M76">
        <v>0</v>
      </c>
      <c r="N76">
        <f t="shared" si="10"/>
        <v>83.333333333333329</v>
      </c>
      <c r="Q76">
        <f t="shared" si="11"/>
        <v>0.71799999999999642</v>
      </c>
    </row>
    <row r="77" spans="1:17" x14ac:dyDescent="0.35">
      <c r="A77">
        <f t="shared" si="12"/>
        <v>76</v>
      </c>
      <c r="B77">
        <v>40.566000000000003</v>
      </c>
      <c r="C77">
        <v>0</v>
      </c>
      <c r="G77">
        <v>1</v>
      </c>
      <c r="H77">
        <v>1</v>
      </c>
      <c r="I77">
        <f t="shared" si="13"/>
        <v>174</v>
      </c>
      <c r="J77">
        <v>75</v>
      </c>
      <c r="K77">
        <f t="shared" si="7"/>
        <v>76</v>
      </c>
      <c r="L77">
        <v>10000</v>
      </c>
      <c r="M77">
        <v>0</v>
      </c>
      <c r="N77">
        <f t="shared" si="10"/>
        <v>83.333333333333329</v>
      </c>
      <c r="Q77">
        <f t="shared" si="11"/>
        <v>1.2360000000000042</v>
      </c>
    </row>
    <row r="78" spans="1:17" x14ac:dyDescent="0.35">
      <c r="A78">
        <f t="shared" si="12"/>
        <v>77</v>
      </c>
      <c r="B78">
        <v>41.515000000000001</v>
      </c>
      <c r="C78">
        <v>0</v>
      </c>
      <c r="G78">
        <v>1</v>
      </c>
      <c r="H78">
        <v>-1</v>
      </c>
      <c r="I78">
        <f t="shared" si="13"/>
        <v>175</v>
      </c>
      <c r="J78">
        <v>76</v>
      </c>
      <c r="K78">
        <f t="shared" si="7"/>
        <v>77</v>
      </c>
      <c r="L78">
        <v>10000</v>
      </c>
      <c r="M78">
        <v>0</v>
      </c>
      <c r="N78">
        <f t="shared" si="10"/>
        <v>83.333333333333329</v>
      </c>
      <c r="Q78">
        <f t="shared" si="11"/>
        <v>0.94899999999999807</v>
      </c>
    </row>
    <row r="79" spans="1:17" x14ac:dyDescent="0.35">
      <c r="A79">
        <f t="shared" si="12"/>
        <v>78</v>
      </c>
      <c r="B79">
        <v>42.66</v>
      </c>
      <c r="C79">
        <v>0</v>
      </c>
      <c r="G79">
        <v>1</v>
      </c>
      <c r="H79">
        <v>1</v>
      </c>
      <c r="I79">
        <f t="shared" si="13"/>
        <v>176</v>
      </c>
      <c r="J79">
        <v>77</v>
      </c>
      <c r="K79">
        <f t="shared" si="7"/>
        <v>78</v>
      </c>
      <c r="L79">
        <v>10000</v>
      </c>
      <c r="M79">
        <v>0</v>
      </c>
      <c r="N79">
        <f t="shared" si="10"/>
        <v>83.333333333333329</v>
      </c>
      <c r="Q79">
        <f t="shared" si="11"/>
        <v>1.144999999999996</v>
      </c>
    </row>
    <row r="80" spans="1:17" x14ac:dyDescent="0.35">
      <c r="A80">
        <f t="shared" si="12"/>
        <v>79</v>
      </c>
      <c r="B80">
        <v>43.701999999999998</v>
      </c>
      <c r="C80">
        <v>0</v>
      </c>
      <c r="G80">
        <v>1</v>
      </c>
      <c r="H80">
        <v>-1</v>
      </c>
      <c r="I80">
        <f t="shared" si="13"/>
        <v>177</v>
      </c>
      <c r="J80">
        <v>78</v>
      </c>
      <c r="K80">
        <f t="shared" si="7"/>
        <v>79</v>
      </c>
      <c r="L80">
        <v>10000</v>
      </c>
      <c r="M80">
        <v>0</v>
      </c>
      <c r="N80">
        <f t="shared" si="10"/>
        <v>83.333333333333329</v>
      </c>
      <c r="Q80">
        <f t="shared" si="11"/>
        <v>1.0420000000000016</v>
      </c>
    </row>
    <row r="81" spans="1:17" x14ac:dyDescent="0.35">
      <c r="A81">
        <f t="shared" si="12"/>
        <v>80</v>
      </c>
      <c r="B81">
        <v>44.325000000000003</v>
      </c>
      <c r="C81">
        <v>0</v>
      </c>
      <c r="G81">
        <v>1</v>
      </c>
      <c r="H81">
        <v>1</v>
      </c>
      <c r="I81">
        <f t="shared" si="13"/>
        <v>178</v>
      </c>
      <c r="J81">
        <v>79</v>
      </c>
      <c r="K81">
        <f t="shared" si="7"/>
        <v>80</v>
      </c>
      <c r="L81">
        <v>10000</v>
      </c>
      <c r="M81">
        <v>0</v>
      </c>
      <c r="N81">
        <f t="shared" si="10"/>
        <v>83.333333333333329</v>
      </c>
      <c r="Q81">
        <f t="shared" si="11"/>
        <v>0.62300000000000466</v>
      </c>
    </row>
    <row r="82" spans="1:17" x14ac:dyDescent="0.35">
      <c r="A82">
        <f t="shared" si="12"/>
        <v>81</v>
      </c>
      <c r="B82">
        <v>45.66</v>
      </c>
      <c r="C82">
        <v>0</v>
      </c>
      <c r="G82">
        <v>1</v>
      </c>
      <c r="H82">
        <v>1</v>
      </c>
      <c r="I82">
        <f t="shared" si="13"/>
        <v>179</v>
      </c>
      <c r="J82">
        <v>80</v>
      </c>
      <c r="K82">
        <f t="shared" ref="K82:K130" si="14">A82</f>
        <v>81</v>
      </c>
      <c r="L82">
        <v>10000</v>
      </c>
      <c r="M82">
        <v>0</v>
      </c>
      <c r="N82">
        <f t="shared" si="10"/>
        <v>83.333333333333329</v>
      </c>
      <c r="Q82">
        <f t="shared" si="11"/>
        <v>1.3349999999999937</v>
      </c>
    </row>
    <row r="83" spans="1:17" x14ac:dyDescent="0.35">
      <c r="A83">
        <f t="shared" si="12"/>
        <v>82</v>
      </c>
      <c r="B83">
        <v>45.716000000000001</v>
      </c>
      <c r="C83">
        <v>0</v>
      </c>
      <c r="G83">
        <v>1</v>
      </c>
      <c r="H83">
        <v>-1</v>
      </c>
      <c r="I83">
        <f t="shared" si="13"/>
        <v>180</v>
      </c>
      <c r="J83">
        <v>81</v>
      </c>
      <c r="K83">
        <f t="shared" si="14"/>
        <v>82</v>
      </c>
      <c r="L83">
        <v>10000</v>
      </c>
      <c r="M83">
        <v>0</v>
      </c>
      <c r="N83">
        <f t="shared" si="10"/>
        <v>83.333333333333329</v>
      </c>
      <c r="Q83">
        <f t="shared" si="11"/>
        <v>5.6000000000004491E-2</v>
      </c>
    </row>
    <row r="84" spans="1:17" x14ac:dyDescent="0.35">
      <c r="A84">
        <f t="shared" si="12"/>
        <v>83</v>
      </c>
      <c r="B84">
        <v>47.38</v>
      </c>
      <c r="C84">
        <v>0</v>
      </c>
      <c r="G84">
        <v>1</v>
      </c>
      <c r="H84">
        <v>1</v>
      </c>
      <c r="I84">
        <f t="shared" si="13"/>
        <v>181</v>
      </c>
      <c r="J84">
        <v>82</v>
      </c>
      <c r="K84">
        <f t="shared" si="14"/>
        <v>83</v>
      </c>
      <c r="L84">
        <v>10000</v>
      </c>
      <c r="M84">
        <v>0</v>
      </c>
      <c r="N84">
        <f t="shared" si="10"/>
        <v>83.333333333333329</v>
      </c>
      <c r="Q84">
        <f t="shared" si="11"/>
        <v>1.6640000000000015</v>
      </c>
    </row>
    <row r="85" spans="1:17" x14ac:dyDescent="0.35">
      <c r="A85">
        <f t="shared" si="12"/>
        <v>84</v>
      </c>
      <c r="B85">
        <v>47.44</v>
      </c>
      <c r="C85">
        <v>0</v>
      </c>
      <c r="G85">
        <v>1</v>
      </c>
      <c r="H85">
        <v>-1</v>
      </c>
      <c r="I85">
        <f t="shared" si="13"/>
        <v>182</v>
      </c>
      <c r="J85">
        <v>83</v>
      </c>
      <c r="K85">
        <f t="shared" si="14"/>
        <v>84</v>
      </c>
      <c r="L85">
        <v>10000</v>
      </c>
      <c r="M85">
        <v>0</v>
      </c>
      <c r="N85">
        <f t="shared" si="10"/>
        <v>83.333333333333329</v>
      </c>
      <c r="Q85">
        <f t="shared" si="11"/>
        <v>5.9999999999995168E-2</v>
      </c>
    </row>
    <row r="86" spans="1:17" x14ac:dyDescent="0.35">
      <c r="A86">
        <f t="shared" si="12"/>
        <v>85</v>
      </c>
      <c r="B86">
        <v>49.095999999999997</v>
      </c>
      <c r="C86">
        <v>0</v>
      </c>
      <c r="G86">
        <v>1</v>
      </c>
      <c r="H86">
        <v>1</v>
      </c>
      <c r="I86">
        <f t="shared" si="13"/>
        <v>183</v>
      </c>
      <c r="J86">
        <v>84</v>
      </c>
      <c r="K86">
        <f t="shared" si="14"/>
        <v>85</v>
      </c>
      <c r="L86">
        <v>10000</v>
      </c>
      <c r="M86">
        <v>0</v>
      </c>
      <c r="N86">
        <f t="shared" si="10"/>
        <v>83.333333333333329</v>
      </c>
      <c r="Q86">
        <f t="shared" si="11"/>
        <v>1.6559999999999988</v>
      </c>
    </row>
    <row r="87" spans="1:17" x14ac:dyDescent="0.35">
      <c r="A87">
        <f t="shared" si="12"/>
        <v>86</v>
      </c>
      <c r="B87">
        <v>49.155999999999999</v>
      </c>
      <c r="C87">
        <v>0</v>
      </c>
      <c r="G87">
        <v>1</v>
      </c>
      <c r="H87">
        <v>-1</v>
      </c>
      <c r="I87">
        <f t="shared" si="13"/>
        <v>184</v>
      </c>
      <c r="J87">
        <v>85</v>
      </c>
      <c r="K87">
        <f t="shared" si="14"/>
        <v>86</v>
      </c>
      <c r="L87">
        <v>10000</v>
      </c>
      <c r="M87">
        <v>0</v>
      </c>
      <c r="N87">
        <f t="shared" si="10"/>
        <v>83.333333333333329</v>
      </c>
      <c r="Q87">
        <f t="shared" si="11"/>
        <v>6.0000000000002274E-2</v>
      </c>
    </row>
    <row r="88" spans="1:17" x14ac:dyDescent="0.35">
      <c r="A88">
        <f t="shared" si="12"/>
        <v>87</v>
      </c>
      <c r="B88">
        <v>50.743000000000002</v>
      </c>
      <c r="C88">
        <v>0</v>
      </c>
      <c r="G88">
        <v>1</v>
      </c>
      <c r="H88">
        <v>1</v>
      </c>
      <c r="I88">
        <f t="shared" si="13"/>
        <v>185</v>
      </c>
      <c r="J88">
        <v>86</v>
      </c>
      <c r="K88">
        <f t="shared" si="14"/>
        <v>87</v>
      </c>
      <c r="L88">
        <v>10000</v>
      </c>
      <c r="M88">
        <v>0</v>
      </c>
      <c r="N88">
        <f t="shared" si="10"/>
        <v>83.333333333333329</v>
      </c>
      <c r="Q88">
        <f t="shared" si="11"/>
        <v>1.5870000000000033</v>
      </c>
    </row>
    <row r="89" spans="1:17" x14ac:dyDescent="0.35">
      <c r="A89">
        <f t="shared" si="12"/>
        <v>88</v>
      </c>
      <c r="B89">
        <v>50.798999999999999</v>
      </c>
      <c r="C89">
        <v>0</v>
      </c>
      <c r="G89">
        <v>1</v>
      </c>
      <c r="H89">
        <v>-1</v>
      </c>
      <c r="I89">
        <f t="shared" si="13"/>
        <v>186</v>
      </c>
      <c r="J89">
        <v>87</v>
      </c>
      <c r="K89">
        <f t="shared" si="14"/>
        <v>88</v>
      </c>
      <c r="L89">
        <v>10000</v>
      </c>
      <c r="M89">
        <v>0</v>
      </c>
      <c r="N89">
        <f t="shared" si="10"/>
        <v>83.333333333333329</v>
      </c>
      <c r="Q89">
        <f t="shared" si="11"/>
        <v>5.5999999999997385E-2</v>
      </c>
    </row>
    <row r="90" spans="1:17" x14ac:dyDescent="0.35">
      <c r="A90">
        <f t="shared" si="12"/>
        <v>89</v>
      </c>
      <c r="B90">
        <v>52.357999999999997</v>
      </c>
      <c r="C90">
        <v>0</v>
      </c>
      <c r="G90">
        <v>1</v>
      </c>
      <c r="H90">
        <v>1</v>
      </c>
      <c r="I90">
        <f t="shared" si="13"/>
        <v>187</v>
      </c>
      <c r="J90">
        <v>88</v>
      </c>
      <c r="K90">
        <f t="shared" si="14"/>
        <v>89</v>
      </c>
      <c r="L90">
        <v>10000</v>
      </c>
      <c r="M90">
        <v>0</v>
      </c>
      <c r="N90">
        <f t="shared" si="10"/>
        <v>83.333333333333329</v>
      </c>
      <c r="Q90">
        <f t="shared" si="11"/>
        <v>1.5589999999999975</v>
      </c>
    </row>
    <row r="91" spans="1:17" x14ac:dyDescent="0.35">
      <c r="A91">
        <f t="shared" si="12"/>
        <v>90</v>
      </c>
      <c r="B91">
        <v>52.417999999999999</v>
      </c>
      <c r="C91">
        <v>0</v>
      </c>
      <c r="G91">
        <v>1</v>
      </c>
      <c r="H91">
        <v>-1</v>
      </c>
      <c r="I91">
        <f t="shared" si="13"/>
        <v>188</v>
      </c>
      <c r="J91">
        <v>89</v>
      </c>
      <c r="K91">
        <f t="shared" si="14"/>
        <v>90</v>
      </c>
      <c r="L91">
        <v>10000</v>
      </c>
      <c r="M91">
        <v>0</v>
      </c>
      <c r="N91">
        <f t="shared" si="10"/>
        <v>83.333333333333329</v>
      </c>
      <c r="Q91">
        <f t="shared" si="11"/>
        <v>6.0000000000002274E-2</v>
      </c>
    </row>
    <row r="92" spans="1:17" x14ac:dyDescent="0.35">
      <c r="A92">
        <f t="shared" si="12"/>
        <v>91</v>
      </c>
      <c r="B92">
        <v>53.963000000000001</v>
      </c>
      <c r="C92">
        <v>0</v>
      </c>
      <c r="G92">
        <v>1</v>
      </c>
      <c r="H92">
        <v>1</v>
      </c>
      <c r="I92">
        <f t="shared" si="13"/>
        <v>189</v>
      </c>
      <c r="J92">
        <v>90</v>
      </c>
      <c r="K92">
        <f t="shared" si="14"/>
        <v>91</v>
      </c>
      <c r="L92">
        <v>10000</v>
      </c>
      <c r="M92">
        <v>0</v>
      </c>
      <c r="N92">
        <f t="shared" si="10"/>
        <v>83.333333333333329</v>
      </c>
      <c r="Q92">
        <f t="shared" si="11"/>
        <v>1.5450000000000017</v>
      </c>
    </row>
    <row r="93" spans="1:17" x14ac:dyDescent="0.35">
      <c r="A93">
        <f t="shared" si="12"/>
        <v>92</v>
      </c>
      <c r="B93">
        <v>54.02</v>
      </c>
      <c r="C93">
        <v>0</v>
      </c>
      <c r="G93">
        <v>1</v>
      </c>
      <c r="H93">
        <v>-1</v>
      </c>
      <c r="I93">
        <f t="shared" si="13"/>
        <v>190</v>
      </c>
      <c r="J93">
        <v>91</v>
      </c>
      <c r="K93">
        <f t="shared" si="14"/>
        <v>92</v>
      </c>
      <c r="L93">
        <v>10000</v>
      </c>
      <c r="M93">
        <v>0</v>
      </c>
      <c r="N93">
        <f t="shared" si="10"/>
        <v>83.333333333333329</v>
      </c>
      <c r="Q93">
        <f t="shared" si="11"/>
        <v>5.700000000000216E-2</v>
      </c>
    </row>
    <row r="94" spans="1:17" x14ac:dyDescent="0.35">
      <c r="A94">
        <f t="shared" si="12"/>
        <v>93</v>
      </c>
      <c r="B94">
        <v>55.573</v>
      </c>
      <c r="C94">
        <v>0</v>
      </c>
      <c r="G94">
        <v>1</v>
      </c>
      <c r="H94">
        <v>-1</v>
      </c>
      <c r="I94">
        <f t="shared" si="13"/>
        <v>191</v>
      </c>
      <c r="J94">
        <v>92</v>
      </c>
      <c r="K94">
        <f t="shared" si="14"/>
        <v>93</v>
      </c>
      <c r="L94">
        <v>10000</v>
      </c>
      <c r="M94">
        <v>0</v>
      </c>
      <c r="N94">
        <f t="shared" si="10"/>
        <v>83.333333333333329</v>
      </c>
      <c r="Q94">
        <f t="shared" si="11"/>
        <v>1.5529999999999973</v>
      </c>
    </row>
    <row r="95" spans="1:17" x14ac:dyDescent="0.35">
      <c r="A95">
        <f t="shared" si="12"/>
        <v>94</v>
      </c>
      <c r="B95">
        <v>55.631999999999998</v>
      </c>
      <c r="C95">
        <v>0</v>
      </c>
      <c r="G95">
        <v>1</v>
      </c>
      <c r="H95">
        <v>-1</v>
      </c>
      <c r="I95">
        <f t="shared" si="13"/>
        <v>192</v>
      </c>
      <c r="J95">
        <v>93</v>
      </c>
      <c r="K95">
        <f t="shared" si="14"/>
        <v>94</v>
      </c>
      <c r="L95">
        <v>10000</v>
      </c>
      <c r="M95">
        <v>0</v>
      </c>
      <c r="N95">
        <f t="shared" si="10"/>
        <v>83.333333333333329</v>
      </c>
      <c r="Q95">
        <f t="shared" si="11"/>
        <v>5.8999999999997499E-2</v>
      </c>
    </row>
    <row r="96" spans="1:17" x14ac:dyDescent="0.35">
      <c r="A96">
        <f t="shared" si="12"/>
        <v>95</v>
      </c>
      <c r="B96">
        <v>57.27</v>
      </c>
      <c r="C96">
        <v>0</v>
      </c>
      <c r="G96">
        <v>1</v>
      </c>
      <c r="H96">
        <v>1</v>
      </c>
      <c r="I96">
        <f t="shared" si="13"/>
        <v>193</v>
      </c>
      <c r="J96">
        <v>94</v>
      </c>
      <c r="K96">
        <f t="shared" si="14"/>
        <v>95</v>
      </c>
      <c r="L96">
        <v>10000</v>
      </c>
      <c r="M96">
        <v>0</v>
      </c>
      <c r="N96">
        <f t="shared" si="10"/>
        <v>83.333333333333329</v>
      </c>
      <c r="Q96">
        <f t="shared" si="11"/>
        <v>1.6380000000000052</v>
      </c>
    </row>
    <row r="97" spans="1:17" x14ac:dyDescent="0.35">
      <c r="A97">
        <f t="shared" si="12"/>
        <v>96</v>
      </c>
      <c r="B97">
        <v>57.326000000000001</v>
      </c>
      <c r="C97">
        <v>0</v>
      </c>
      <c r="G97">
        <v>1</v>
      </c>
      <c r="H97">
        <v>-1</v>
      </c>
      <c r="I97">
        <f t="shared" si="13"/>
        <v>194</v>
      </c>
      <c r="J97">
        <v>95</v>
      </c>
      <c r="K97">
        <f t="shared" si="14"/>
        <v>96</v>
      </c>
      <c r="L97">
        <v>10000</v>
      </c>
      <c r="M97">
        <v>0</v>
      </c>
      <c r="N97">
        <f t="shared" si="10"/>
        <v>83.333333333333329</v>
      </c>
      <c r="Q97">
        <f t="shared" si="11"/>
        <v>5.5999999999997385E-2</v>
      </c>
    </row>
    <row r="98" spans="1:17" x14ac:dyDescent="0.35">
      <c r="A98">
        <f t="shared" si="12"/>
        <v>97</v>
      </c>
      <c r="B98">
        <v>58.881999999999998</v>
      </c>
      <c r="C98">
        <v>0</v>
      </c>
      <c r="G98">
        <v>1</v>
      </c>
      <c r="H98">
        <v>1</v>
      </c>
      <c r="I98">
        <f t="shared" si="13"/>
        <v>195</v>
      </c>
      <c r="J98">
        <v>96</v>
      </c>
      <c r="K98">
        <f t="shared" si="14"/>
        <v>97</v>
      </c>
      <c r="L98">
        <v>10000</v>
      </c>
      <c r="M98">
        <v>0</v>
      </c>
      <c r="N98">
        <f t="shared" si="10"/>
        <v>83.333333333333329</v>
      </c>
      <c r="Q98">
        <f t="shared" si="11"/>
        <v>1.5559999999999974</v>
      </c>
    </row>
    <row r="99" spans="1:17" x14ac:dyDescent="0.35">
      <c r="A99">
        <f t="shared" si="12"/>
        <v>98</v>
      </c>
      <c r="B99">
        <v>58.938000000000002</v>
      </c>
      <c r="C99">
        <v>0</v>
      </c>
      <c r="G99">
        <v>1</v>
      </c>
      <c r="H99">
        <v>-1</v>
      </c>
      <c r="I99">
        <f t="shared" si="13"/>
        <v>196</v>
      </c>
      <c r="J99">
        <v>97</v>
      </c>
      <c r="K99">
        <f t="shared" si="14"/>
        <v>98</v>
      </c>
      <c r="L99">
        <v>10000</v>
      </c>
      <c r="M99">
        <v>0</v>
      </c>
      <c r="N99">
        <f t="shared" si="10"/>
        <v>83.333333333333329</v>
      </c>
      <c r="Q99">
        <f t="shared" si="11"/>
        <v>5.6000000000004491E-2</v>
      </c>
    </row>
    <row r="100" spans="1:17" x14ac:dyDescent="0.35">
      <c r="A100">
        <f t="shared" si="12"/>
        <v>99</v>
      </c>
      <c r="B100">
        <v>60.595999999999997</v>
      </c>
      <c r="C100">
        <v>0</v>
      </c>
      <c r="G100">
        <v>1</v>
      </c>
      <c r="H100">
        <v>1</v>
      </c>
      <c r="I100">
        <f t="shared" si="13"/>
        <v>197</v>
      </c>
      <c r="J100">
        <v>98</v>
      </c>
      <c r="K100">
        <f t="shared" si="14"/>
        <v>99</v>
      </c>
      <c r="L100">
        <v>10000</v>
      </c>
      <c r="M100">
        <v>0</v>
      </c>
      <c r="N100">
        <f t="shared" si="10"/>
        <v>83.333333333333329</v>
      </c>
      <c r="Q100">
        <f t="shared" si="11"/>
        <v>1.6579999999999941</v>
      </c>
    </row>
    <row r="101" spans="1:17" x14ac:dyDescent="0.35">
      <c r="A101">
        <f t="shared" si="12"/>
        <v>100</v>
      </c>
      <c r="B101">
        <v>60.654000000000003</v>
      </c>
      <c r="C101">
        <v>0</v>
      </c>
      <c r="G101">
        <v>1</v>
      </c>
      <c r="H101">
        <v>-1</v>
      </c>
      <c r="I101">
        <f t="shared" si="13"/>
        <v>198</v>
      </c>
      <c r="J101">
        <v>99</v>
      </c>
      <c r="K101">
        <f t="shared" si="14"/>
        <v>100</v>
      </c>
      <c r="L101">
        <v>10000</v>
      </c>
      <c r="M101">
        <v>0</v>
      </c>
      <c r="N101">
        <f t="shared" si="10"/>
        <v>83.333333333333329</v>
      </c>
      <c r="Q101">
        <f t="shared" si="11"/>
        <v>5.8000000000006935E-2</v>
      </c>
    </row>
    <row r="102" spans="1:17" x14ac:dyDescent="0.35">
      <c r="A102">
        <f t="shared" si="12"/>
        <v>101</v>
      </c>
      <c r="B102">
        <v>62.148000000000003</v>
      </c>
      <c r="C102">
        <v>0</v>
      </c>
      <c r="G102">
        <v>1</v>
      </c>
      <c r="H102">
        <v>1</v>
      </c>
      <c r="I102">
        <f t="shared" si="13"/>
        <v>199</v>
      </c>
      <c r="J102">
        <v>100</v>
      </c>
      <c r="K102">
        <f t="shared" si="14"/>
        <v>101</v>
      </c>
      <c r="L102">
        <v>10000</v>
      </c>
      <c r="M102">
        <v>0</v>
      </c>
      <c r="N102">
        <f t="shared" si="10"/>
        <v>83.333333333333329</v>
      </c>
      <c r="Q102">
        <f t="shared" si="11"/>
        <v>1.4939999999999998</v>
      </c>
    </row>
    <row r="103" spans="1:17" x14ac:dyDescent="0.35">
      <c r="A103">
        <f t="shared" si="12"/>
        <v>102</v>
      </c>
      <c r="B103">
        <v>62.71</v>
      </c>
      <c r="C103">
        <v>0</v>
      </c>
      <c r="G103">
        <v>1</v>
      </c>
      <c r="H103">
        <v>-1</v>
      </c>
      <c r="I103">
        <f t="shared" si="13"/>
        <v>200</v>
      </c>
      <c r="J103">
        <v>101</v>
      </c>
      <c r="K103">
        <f t="shared" si="14"/>
        <v>102</v>
      </c>
      <c r="L103">
        <v>10000</v>
      </c>
      <c r="M103">
        <v>0</v>
      </c>
      <c r="N103">
        <f t="shared" si="10"/>
        <v>83.333333333333329</v>
      </c>
      <c r="Q103">
        <f t="shared" si="11"/>
        <v>0.56199999999999761</v>
      </c>
    </row>
    <row r="104" spans="1:17" x14ac:dyDescent="0.35">
      <c r="A104">
        <f t="shared" si="12"/>
        <v>103</v>
      </c>
      <c r="B104">
        <v>63.726999999999997</v>
      </c>
      <c r="C104">
        <v>0</v>
      </c>
      <c r="G104">
        <v>1</v>
      </c>
      <c r="H104">
        <v>-1</v>
      </c>
      <c r="I104">
        <f t="shared" si="13"/>
        <v>201</v>
      </c>
      <c r="J104">
        <v>102</v>
      </c>
      <c r="K104">
        <f t="shared" si="14"/>
        <v>103</v>
      </c>
      <c r="L104">
        <v>10000</v>
      </c>
      <c r="M104">
        <v>0</v>
      </c>
      <c r="N104">
        <f t="shared" si="10"/>
        <v>83.333333333333329</v>
      </c>
      <c r="Q104">
        <f t="shared" si="11"/>
        <v>1.0169999999999959</v>
      </c>
    </row>
    <row r="105" spans="1:17" x14ac:dyDescent="0.35">
      <c r="A105">
        <f t="shared" si="12"/>
        <v>104</v>
      </c>
      <c r="B105">
        <v>64.965000000000003</v>
      </c>
      <c r="C105">
        <v>0</v>
      </c>
      <c r="G105">
        <v>1</v>
      </c>
      <c r="H105">
        <v>1</v>
      </c>
      <c r="I105">
        <f t="shared" si="13"/>
        <v>202</v>
      </c>
      <c r="J105">
        <v>103</v>
      </c>
      <c r="K105">
        <f t="shared" si="14"/>
        <v>104</v>
      </c>
      <c r="L105">
        <v>10000</v>
      </c>
      <c r="M105">
        <v>0</v>
      </c>
      <c r="N105">
        <f t="shared" si="10"/>
        <v>83.333333333333329</v>
      </c>
      <c r="Q105">
        <f t="shared" si="11"/>
        <v>1.2380000000000067</v>
      </c>
    </row>
    <row r="106" spans="1:17" x14ac:dyDescent="0.35">
      <c r="A106">
        <f t="shared" si="12"/>
        <v>105</v>
      </c>
      <c r="B106">
        <v>65.694999999999993</v>
      </c>
      <c r="C106">
        <v>0</v>
      </c>
      <c r="I106">
        <f t="shared" si="13"/>
        <v>203</v>
      </c>
      <c r="J106">
        <v>104</v>
      </c>
      <c r="K106">
        <f t="shared" si="14"/>
        <v>105</v>
      </c>
      <c r="L106">
        <v>10000</v>
      </c>
      <c r="M106">
        <v>0</v>
      </c>
      <c r="N106">
        <f t="shared" si="10"/>
        <v>83.333333333333329</v>
      </c>
      <c r="Q106">
        <f t="shared" si="11"/>
        <v>0.72999999999998977</v>
      </c>
    </row>
    <row r="107" spans="1:17" x14ac:dyDescent="0.35">
      <c r="A107">
        <f t="shared" si="12"/>
        <v>106</v>
      </c>
      <c r="B107">
        <v>65.894999999999996</v>
      </c>
      <c r="C107">
        <v>0</v>
      </c>
      <c r="F107">
        <v>1</v>
      </c>
      <c r="I107">
        <f t="shared" si="13"/>
        <v>204</v>
      </c>
      <c r="J107">
        <v>105</v>
      </c>
      <c r="K107">
        <f t="shared" si="14"/>
        <v>106</v>
      </c>
      <c r="L107">
        <v>10000</v>
      </c>
      <c r="M107">
        <v>0</v>
      </c>
      <c r="N107">
        <f t="shared" si="10"/>
        <v>83.333333333333329</v>
      </c>
      <c r="Q107">
        <f t="shared" si="11"/>
        <v>0.20000000000000284</v>
      </c>
    </row>
    <row r="108" spans="1:17" x14ac:dyDescent="0.35">
      <c r="A108">
        <f t="shared" si="12"/>
        <v>107</v>
      </c>
      <c r="B108">
        <v>66.061000000000007</v>
      </c>
      <c r="C108">
        <v>0</v>
      </c>
      <c r="G108">
        <v>1</v>
      </c>
      <c r="H108">
        <v>-1</v>
      </c>
      <c r="I108">
        <f t="shared" si="13"/>
        <v>205</v>
      </c>
      <c r="J108">
        <v>106</v>
      </c>
      <c r="K108">
        <f t="shared" si="14"/>
        <v>107</v>
      </c>
      <c r="L108">
        <v>10000</v>
      </c>
      <c r="M108">
        <v>0</v>
      </c>
      <c r="N108">
        <f t="shared" si="10"/>
        <v>83.333333333333329</v>
      </c>
      <c r="Q108">
        <f t="shared" si="11"/>
        <v>0.16600000000001103</v>
      </c>
    </row>
    <row r="109" spans="1:17" x14ac:dyDescent="0.35">
      <c r="A109">
        <f t="shared" si="12"/>
        <v>108</v>
      </c>
      <c r="B109">
        <v>66.394999999999996</v>
      </c>
      <c r="C109">
        <v>0</v>
      </c>
      <c r="G109">
        <v>1</v>
      </c>
      <c r="H109">
        <v>1</v>
      </c>
      <c r="I109">
        <f t="shared" si="13"/>
        <v>206</v>
      </c>
      <c r="J109">
        <v>107</v>
      </c>
      <c r="K109">
        <f t="shared" si="14"/>
        <v>108</v>
      </c>
      <c r="L109">
        <v>10000</v>
      </c>
      <c r="M109">
        <v>0</v>
      </c>
      <c r="N109">
        <f t="shared" si="10"/>
        <v>83.333333333333329</v>
      </c>
      <c r="Q109">
        <f t="shared" si="11"/>
        <v>0.33399999999998897</v>
      </c>
    </row>
    <row r="110" spans="1:17" x14ac:dyDescent="0.35">
      <c r="A110">
        <f t="shared" si="12"/>
        <v>109</v>
      </c>
      <c r="B110">
        <v>66.55</v>
      </c>
      <c r="C110">
        <v>0</v>
      </c>
      <c r="F110">
        <v>1</v>
      </c>
      <c r="I110">
        <f t="shared" si="13"/>
        <v>207</v>
      </c>
      <c r="J110">
        <v>108</v>
      </c>
      <c r="K110">
        <f t="shared" si="14"/>
        <v>109</v>
      </c>
      <c r="L110">
        <v>10000</v>
      </c>
      <c r="M110">
        <v>0</v>
      </c>
      <c r="N110">
        <f t="shared" si="10"/>
        <v>83.333333333333329</v>
      </c>
      <c r="Q110">
        <f t="shared" si="11"/>
        <v>0.15500000000000114</v>
      </c>
    </row>
    <row r="111" spans="1:17" x14ac:dyDescent="0.35">
      <c r="A111">
        <f t="shared" si="12"/>
        <v>110</v>
      </c>
      <c r="B111">
        <v>66.75</v>
      </c>
      <c r="C111">
        <v>0</v>
      </c>
      <c r="I111">
        <f t="shared" si="13"/>
        <v>208</v>
      </c>
      <c r="J111">
        <v>109</v>
      </c>
      <c r="K111">
        <f t="shared" si="14"/>
        <v>110</v>
      </c>
      <c r="L111">
        <v>10000</v>
      </c>
      <c r="M111">
        <v>0</v>
      </c>
      <c r="N111">
        <f t="shared" si="10"/>
        <v>83.333333333333329</v>
      </c>
      <c r="Q111">
        <f t="shared" si="11"/>
        <v>0.20000000000000284</v>
      </c>
    </row>
    <row r="112" spans="1:17" x14ac:dyDescent="0.35">
      <c r="A112">
        <f t="shared" si="12"/>
        <v>111</v>
      </c>
      <c r="B112">
        <f>B111+0.247</f>
        <v>66.997</v>
      </c>
      <c r="C112">
        <v>0</v>
      </c>
      <c r="D112" t="s">
        <v>26</v>
      </c>
      <c r="I112">
        <f t="shared" si="13"/>
        <v>209</v>
      </c>
      <c r="J112">
        <v>110</v>
      </c>
      <c r="K112">
        <f t="shared" si="14"/>
        <v>111</v>
      </c>
      <c r="L112">
        <v>10000</v>
      </c>
      <c r="M112">
        <v>0</v>
      </c>
      <c r="N112">
        <f t="shared" si="10"/>
        <v>83.333333333333329</v>
      </c>
      <c r="Q112">
        <f t="shared" si="11"/>
        <v>0.24699999999999989</v>
      </c>
    </row>
    <row r="113" spans="1:17" x14ac:dyDescent="0.35">
      <c r="A113">
        <f t="shared" si="12"/>
        <v>112</v>
      </c>
      <c r="B113">
        <v>67.647000000000006</v>
      </c>
      <c r="C113">
        <v>0</v>
      </c>
      <c r="G113">
        <v>1</v>
      </c>
      <c r="H113">
        <v>-1</v>
      </c>
      <c r="I113">
        <f t="shared" si="13"/>
        <v>210</v>
      </c>
      <c r="J113">
        <v>111</v>
      </c>
      <c r="K113">
        <f t="shared" si="14"/>
        <v>112</v>
      </c>
      <c r="L113">
        <v>10000</v>
      </c>
      <c r="M113">
        <v>0</v>
      </c>
      <c r="N113">
        <f>160/3.6</f>
        <v>44.444444444444443</v>
      </c>
      <c r="Q113">
        <f t="shared" si="11"/>
        <v>0.65000000000000568</v>
      </c>
    </row>
    <row r="114" spans="1:17" x14ac:dyDescent="0.35">
      <c r="A114">
        <f t="shared" si="12"/>
        <v>113</v>
      </c>
      <c r="B114">
        <v>68.63300000000001</v>
      </c>
      <c r="C114">
        <v>0</v>
      </c>
      <c r="G114">
        <v>1</v>
      </c>
      <c r="H114">
        <v>1</v>
      </c>
      <c r="I114">
        <f t="shared" si="13"/>
        <v>211</v>
      </c>
      <c r="J114">
        <v>112</v>
      </c>
      <c r="K114">
        <f t="shared" si="14"/>
        <v>113</v>
      </c>
      <c r="L114">
        <v>10000</v>
      </c>
      <c r="M114">
        <v>0</v>
      </c>
      <c r="N114">
        <f t="shared" ref="N114:N130" si="15">160/3.6</f>
        <v>44.444444444444443</v>
      </c>
      <c r="Q114">
        <f t="shared" si="11"/>
        <v>0.98600000000000421</v>
      </c>
    </row>
    <row r="115" spans="1:17" x14ac:dyDescent="0.35">
      <c r="A115">
        <f t="shared" si="12"/>
        <v>114</v>
      </c>
      <c r="B115">
        <v>69.471000000000004</v>
      </c>
      <c r="C115">
        <v>0</v>
      </c>
      <c r="I115">
        <f t="shared" si="13"/>
        <v>212</v>
      </c>
      <c r="J115">
        <v>113</v>
      </c>
      <c r="K115">
        <f t="shared" si="14"/>
        <v>114</v>
      </c>
      <c r="L115">
        <v>10000</v>
      </c>
      <c r="M115">
        <v>0</v>
      </c>
      <c r="N115">
        <f t="shared" si="15"/>
        <v>44.444444444444443</v>
      </c>
      <c r="Q115">
        <f t="shared" si="11"/>
        <v>0.83799999999999386</v>
      </c>
    </row>
    <row r="116" spans="1:17" x14ac:dyDescent="0.35">
      <c r="A116">
        <f t="shared" si="12"/>
        <v>115</v>
      </c>
      <c r="B116">
        <v>69.968000000000004</v>
      </c>
      <c r="C116">
        <v>0</v>
      </c>
      <c r="G116">
        <v>1</v>
      </c>
      <c r="H116">
        <v>-1</v>
      </c>
      <c r="I116">
        <f t="shared" si="13"/>
        <v>213</v>
      </c>
      <c r="J116">
        <v>114</v>
      </c>
      <c r="K116">
        <f t="shared" si="14"/>
        <v>115</v>
      </c>
      <c r="L116">
        <v>10000</v>
      </c>
      <c r="M116">
        <v>0</v>
      </c>
      <c r="N116">
        <f t="shared" si="15"/>
        <v>44.444444444444443</v>
      </c>
      <c r="Q116">
        <f t="shared" si="11"/>
        <v>0.49699999999999989</v>
      </c>
    </row>
    <row r="117" spans="1:17" x14ac:dyDescent="0.35">
      <c r="A117">
        <f t="shared" si="12"/>
        <v>116</v>
      </c>
      <c r="B117">
        <v>70.784000000000006</v>
      </c>
      <c r="C117">
        <v>0</v>
      </c>
      <c r="G117">
        <v>1</v>
      </c>
      <c r="H117">
        <v>1</v>
      </c>
      <c r="I117">
        <f t="shared" si="13"/>
        <v>214</v>
      </c>
      <c r="J117">
        <v>115</v>
      </c>
      <c r="K117">
        <f t="shared" si="14"/>
        <v>116</v>
      </c>
      <c r="L117">
        <v>10000</v>
      </c>
      <c r="M117">
        <v>0</v>
      </c>
      <c r="N117">
        <f t="shared" si="15"/>
        <v>44.444444444444443</v>
      </c>
      <c r="Q117">
        <f t="shared" si="11"/>
        <v>0.8160000000000025</v>
      </c>
    </row>
    <row r="118" spans="1:17" x14ac:dyDescent="0.35">
      <c r="A118">
        <f t="shared" si="12"/>
        <v>117</v>
      </c>
      <c r="B118">
        <v>72.114000000000004</v>
      </c>
      <c r="C118">
        <v>0</v>
      </c>
      <c r="G118">
        <v>1</v>
      </c>
      <c r="H118">
        <v>1</v>
      </c>
      <c r="I118">
        <f t="shared" si="13"/>
        <v>215</v>
      </c>
      <c r="J118">
        <v>116</v>
      </c>
      <c r="K118">
        <f t="shared" si="14"/>
        <v>117</v>
      </c>
      <c r="L118">
        <v>10000</v>
      </c>
      <c r="M118">
        <v>0</v>
      </c>
      <c r="N118">
        <f t="shared" si="15"/>
        <v>44.444444444444443</v>
      </c>
      <c r="Q118">
        <f t="shared" si="11"/>
        <v>1.3299999999999983</v>
      </c>
    </row>
    <row r="119" spans="1:17" x14ac:dyDescent="0.35">
      <c r="A119">
        <f t="shared" si="12"/>
        <v>118</v>
      </c>
      <c r="B119">
        <v>72.168000000000006</v>
      </c>
      <c r="C119">
        <v>0</v>
      </c>
      <c r="G119">
        <v>1</v>
      </c>
      <c r="H119">
        <v>-1</v>
      </c>
      <c r="I119">
        <f t="shared" si="13"/>
        <v>216</v>
      </c>
      <c r="J119">
        <v>117</v>
      </c>
      <c r="K119">
        <f t="shared" si="14"/>
        <v>118</v>
      </c>
      <c r="L119">
        <v>10000</v>
      </c>
      <c r="M119">
        <v>0</v>
      </c>
      <c r="N119">
        <f t="shared" si="15"/>
        <v>44.444444444444443</v>
      </c>
      <c r="Q119">
        <f t="shared" si="11"/>
        <v>5.4000000000002046E-2</v>
      </c>
    </row>
    <row r="120" spans="1:17" x14ac:dyDescent="0.35">
      <c r="A120">
        <f t="shared" si="12"/>
        <v>119</v>
      </c>
      <c r="B120">
        <v>73.759</v>
      </c>
      <c r="C120">
        <v>0</v>
      </c>
      <c r="G120">
        <v>1</v>
      </c>
      <c r="H120">
        <v>1</v>
      </c>
      <c r="I120">
        <f t="shared" si="13"/>
        <v>217</v>
      </c>
      <c r="J120">
        <v>118</v>
      </c>
      <c r="K120">
        <f t="shared" si="14"/>
        <v>119</v>
      </c>
      <c r="L120">
        <v>10000</v>
      </c>
      <c r="M120">
        <v>0</v>
      </c>
      <c r="N120">
        <f t="shared" si="15"/>
        <v>44.444444444444443</v>
      </c>
      <c r="Q120">
        <f t="shared" si="11"/>
        <v>1.590999999999994</v>
      </c>
    </row>
    <row r="121" spans="1:17" x14ac:dyDescent="0.35">
      <c r="A121">
        <f t="shared" si="12"/>
        <v>120</v>
      </c>
      <c r="B121">
        <v>73.819000000000003</v>
      </c>
      <c r="C121">
        <v>0</v>
      </c>
      <c r="G121">
        <v>1</v>
      </c>
      <c r="H121">
        <v>-1</v>
      </c>
      <c r="I121">
        <f t="shared" si="13"/>
        <v>218</v>
      </c>
      <c r="J121">
        <v>119</v>
      </c>
      <c r="K121">
        <f t="shared" si="14"/>
        <v>120</v>
      </c>
      <c r="L121">
        <v>10000</v>
      </c>
      <c r="M121">
        <v>0</v>
      </c>
      <c r="N121">
        <f t="shared" si="15"/>
        <v>44.444444444444443</v>
      </c>
      <c r="Q121">
        <f t="shared" si="11"/>
        <v>6.0000000000002274E-2</v>
      </c>
    </row>
    <row r="122" spans="1:17" x14ac:dyDescent="0.35">
      <c r="A122">
        <f t="shared" si="12"/>
        <v>121</v>
      </c>
      <c r="B122">
        <v>75.304000000000002</v>
      </c>
      <c r="C122">
        <v>0</v>
      </c>
      <c r="G122">
        <v>1</v>
      </c>
      <c r="H122">
        <v>1</v>
      </c>
      <c r="I122">
        <f t="shared" si="13"/>
        <v>219</v>
      </c>
      <c r="J122">
        <v>120</v>
      </c>
      <c r="K122">
        <f t="shared" si="14"/>
        <v>121</v>
      </c>
      <c r="L122">
        <v>10000</v>
      </c>
      <c r="M122">
        <v>0</v>
      </c>
      <c r="N122">
        <f t="shared" si="15"/>
        <v>44.444444444444443</v>
      </c>
      <c r="Q122">
        <f t="shared" si="11"/>
        <v>1.4849999999999994</v>
      </c>
    </row>
    <row r="123" spans="1:17" x14ac:dyDescent="0.35">
      <c r="A123">
        <f t="shared" si="12"/>
        <v>122</v>
      </c>
      <c r="B123">
        <v>75.356999999999999</v>
      </c>
      <c r="C123">
        <v>0</v>
      </c>
      <c r="G123">
        <v>1</v>
      </c>
      <c r="H123">
        <v>-1</v>
      </c>
      <c r="I123">
        <f t="shared" si="13"/>
        <v>220</v>
      </c>
      <c r="J123">
        <v>121</v>
      </c>
      <c r="K123">
        <f t="shared" si="14"/>
        <v>122</v>
      </c>
      <c r="L123">
        <v>10000</v>
      </c>
      <c r="M123">
        <v>0</v>
      </c>
      <c r="N123">
        <f t="shared" si="15"/>
        <v>44.444444444444443</v>
      </c>
      <c r="Q123">
        <f t="shared" si="11"/>
        <v>5.2999999999997272E-2</v>
      </c>
    </row>
    <row r="124" spans="1:17" x14ac:dyDescent="0.35">
      <c r="A124">
        <f t="shared" si="12"/>
        <v>123</v>
      </c>
      <c r="B124">
        <v>76.935000000000002</v>
      </c>
      <c r="C124">
        <v>0</v>
      </c>
      <c r="G124">
        <v>1</v>
      </c>
      <c r="H124">
        <v>1</v>
      </c>
      <c r="I124">
        <f t="shared" si="13"/>
        <v>221</v>
      </c>
      <c r="J124">
        <v>122</v>
      </c>
      <c r="K124">
        <f t="shared" si="14"/>
        <v>123</v>
      </c>
      <c r="L124">
        <v>10000</v>
      </c>
      <c r="M124">
        <v>0</v>
      </c>
      <c r="N124">
        <f t="shared" si="15"/>
        <v>44.444444444444443</v>
      </c>
      <c r="Q124">
        <f t="shared" si="11"/>
        <v>1.578000000000003</v>
      </c>
    </row>
    <row r="125" spans="1:17" x14ac:dyDescent="0.35">
      <c r="A125">
        <f t="shared" si="12"/>
        <v>124</v>
      </c>
      <c r="B125">
        <v>76.994</v>
      </c>
      <c r="C125">
        <v>0</v>
      </c>
      <c r="G125">
        <v>1</v>
      </c>
      <c r="H125">
        <v>-1</v>
      </c>
      <c r="I125">
        <f t="shared" si="13"/>
        <v>222</v>
      </c>
      <c r="J125">
        <v>123</v>
      </c>
      <c r="K125">
        <f t="shared" si="14"/>
        <v>124</v>
      </c>
      <c r="L125">
        <v>10000</v>
      </c>
      <c r="M125">
        <v>0</v>
      </c>
      <c r="N125">
        <f t="shared" si="15"/>
        <v>44.444444444444443</v>
      </c>
      <c r="Q125">
        <f t="shared" si="11"/>
        <v>5.8999999999997499E-2</v>
      </c>
    </row>
    <row r="126" spans="1:17" x14ac:dyDescent="0.35">
      <c r="A126">
        <f t="shared" si="12"/>
        <v>125</v>
      </c>
      <c r="B126">
        <v>77.728999999999999</v>
      </c>
      <c r="C126">
        <v>0</v>
      </c>
      <c r="G126">
        <v>1</v>
      </c>
      <c r="H126">
        <v>1</v>
      </c>
      <c r="I126">
        <f t="shared" si="13"/>
        <v>223</v>
      </c>
      <c r="J126">
        <v>124</v>
      </c>
      <c r="K126">
        <f t="shared" si="14"/>
        <v>125</v>
      </c>
      <c r="L126">
        <v>10000</v>
      </c>
      <c r="M126">
        <v>0</v>
      </c>
      <c r="N126">
        <f t="shared" si="15"/>
        <v>44.444444444444443</v>
      </c>
      <c r="Q126">
        <f t="shared" si="11"/>
        <v>0.73499999999999943</v>
      </c>
    </row>
    <row r="127" spans="1:17" x14ac:dyDescent="0.35">
      <c r="A127">
        <f t="shared" si="12"/>
        <v>126</v>
      </c>
      <c r="B127">
        <v>77.775000000000006</v>
      </c>
      <c r="C127">
        <v>0</v>
      </c>
      <c r="G127">
        <v>1</v>
      </c>
      <c r="H127">
        <v>-1</v>
      </c>
      <c r="I127">
        <f t="shared" si="13"/>
        <v>224</v>
      </c>
      <c r="J127">
        <v>125</v>
      </c>
      <c r="K127">
        <f t="shared" si="14"/>
        <v>126</v>
      </c>
      <c r="L127">
        <v>10000</v>
      </c>
      <c r="M127">
        <v>0</v>
      </c>
      <c r="N127">
        <f t="shared" si="15"/>
        <v>44.444444444444443</v>
      </c>
      <c r="Q127">
        <f t="shared" si="11"/>
        <v>4.600000000000648E-2</v>
      </c>
    </row>
    <row r="128" spans="1:17" x14ac:dyDescent="0.35">
      <c r="A128">
        <f t="shared" si="12"/>
        <v>127</v>
      </c>
      <c r="B128">
        <v>77.84</v>
      </c>
      <c r="C128">
        <v>0</v>
      </c>
      <c r="G128">
        <v>1</v>
      </c>
      <c r="H128">
        <v>1</v>
      </c>
      <c r="I128">
        <f t="shared" si="13"/>
        <v>225</v>
      </c>
      <c r="J128">
        <v>126</v>
      </c>
      <c r="K128">
        <f t="shared" si="14"/>
        <v>127</v>
      </c>
      <c r="L128">
        <v>10000</v>
      </c>
      <c r="M128">
        <v>0</v>
      </c>
      <c r="N128">
        <f t="shared" si="15"/>
        <v>44.444444444444443</v>
      </c>
      <c r="Q128">
        <f t="shared" si="11"/>
        <v>6.4999999999997726E-2</v>
      </c>
    </row>
    <row r="129" spans="1:17" x14ac:dyDescent="0.35">
      <c r="A129">
        <f t="shared" si="12"/>
        <v>128</v>
      </c>
      <c r="B129">
        <v>78.414000000000001</v>
      </c>
      <c r="C129">
        <v>0</v>
      </c>
      <c r="F129">
        <v>1</v>
      </c>
      <c r="I129">
        <f t="shared" si="13"/>
        <v>226</v>
      </c>
      <c r="J129">
        <v>127</v>
      </c>
      <c r="K129">
        <f t="shared" si="14"/>
        <v>128</v>
      </c>
      <c r="L129">
        <v>10000</v>
      </c>
      <c r="M129">
        <v>0</v>
      </c>
      <c r="N129">
        <f t="shared" si="15"/>
        <v>44.444444444444443</v>
      </c>
      <c r="Q129">
        <f t="shared" si="11"/>
        <v>0.57399999999999807</v>
      </c>
    </row>
    <row r="130" spans="1:17" x14ac:dyDescent="0.35">
      <c r="A130">
        <f t="shared" si="12"/>
        <v>129</v>
      </c>
      <c r="B130">
        <v>78.650000000000006</v>
      </c>
      <c r="C130">
        <v>0</v>
      </c>
      <c r="G130">
        <v>1</v>
      </c>
      <c r="H130">
        <v>0</v>
      </c>
      <c r="I130">
        <f t="shared" si="13"/>
        <v>227</v>
      </c>
      <c r="J130">
        <v>128</v>
      </c>
      <c r="K130">
        <f t="shared" si="14"/>
        <v>129</v>
      </c>
      <c r="L130">
        <v>10000</v>
      </c>
      <c r="M130">
        <v>0</v>
      </c>
      <c r="N130">
        <f t="shared" si="15"/>
        <v>44.444444444444443</v>
      </c>
      <c r="Q130">
        <f t="shared" si="11"/>
        <v>0.23600000000000421</v>
      </c>
    </row>
  </sheetData>
  <autoFilter ref="A1:N130" xr:uid="{0FFD5F89-2751-41A0-AEAF-9D6DADCC4C1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DCBD-B066-4F99-A9AD-52E14206438D}">
  <dimension ref="A1:P6"/>
  <sheetViews>
    <sheetView zoomScale="70" zoomScaleNormal="70" workbookViewId="0">
      <selection activeCell="D6" sqref="D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f>B3-0.453</f>
        <v>9.7920000000000016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f>B4-0.449</f>
        <v>10.245000000000001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100/3.6</f>
        <v>27.777777777777779</v>
      </c>
      <c r="P3">
        <f>B3-B2</f>
        <v>0.4529999999999994</v>
      </c>
    </row>
    <row r="4" spans="1:16" x14ac:dyDescent="0.35">
      <c r="A4">
        <f t="shared" ref="A4:A6" si="0">A3+1</f>
        <v>3</v>
      </c>
      <c r="B4">
        <v>10.694000000000001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6" si="1">A4</f>
        <v>3</v>
      </c>
      <c r="L4">
        <v>10000</v>
      </c>
      <c r="M4">
        <v>0</v>
      </c>
      <c r="N4">
        <f t="shared" ref="N4:N6" si="2">100/3.6</f>
        <v>27.777777777777779</v>
      </c>
      <c r="P4">
        <f>B4-B3</f>
        <v>0.44899999999999984</v>
      </c>
    </row>
    <row r="5" spans="1:16" x14ac:dyDescent="0.35">
      <c r="A5">
        <f t="shared" si="0"/>
        <v>4</v>
      </c>
      <c r="B5">
        <v>10.987</v>
      </c>
      <c r="C5">
        <v>0</v>
      </c>
      <c r="F5">
        <v>1</v>
      </c>
      <c r="I5">
        <f t="shared" ref="I5:I6" si="3">I4+1</f>
        <v>102</v>
      </c>
      <c r="J5">
        <v>3</v>
      </c>
      <c r="K5">
        <f t="shared" si="1"/>
        <v>4</v>
      </c>
      <c r="L5">
        <v>10000</v>
      </c>
      <c r="M5">
        <v>0</v>
      </c>
      <c r="N5">
        <f t="shared" si="2"/>
        <v>27.777777777777779</v>
      </c>
      <c r="P5">
        <f>B5-B4</f>
        <v>0.29299999999999926</v>
      </c>
    </row>
    <row r="6" spans="1:16" x14ac:dyDescent="0.35">
      <c r="A6">
        <f t="shared" si="0"/>
        <v>5</v>
      </c>
      <c r="B6">
        <v>11.1</v>
      </c>
      <c r="C6">
        <v>0</v>
      </c>
      <c r="G6">
        <v>1</v>
      </c>
      <c r="H6">
        <v>0</v>
      </c>
      <c r="I6">
        <f t="shared" si="3"/>
        <v>103</v>
      </c>
      <c r="J6">
        <v>4</v>
      </c>
      <c r="K6">
        <f t="shared" si="1"/>
        <v>5</v>
      </c>
      <c r="L6">
        <v>10000</v>
      </c>
      <c r="M6">
        <v>0</v>
      </c>
      <c r="N6">
        <f t="shared" si="2"/>
        <v>27.777777777777779</v>
      </c>
      <c r="P6">
        <f>B6-B5</f>
        <v>0.11299999999999955</v>
      </c>
    </row>
  </sheetData>
  <autoFilter ref="H1:H6" xr:uid="{DDF3DCBD-B066-4F99-A9AD-52E14206438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862B-EAA9-4F80-ACAF-6D99DA973908}">
  <dimension ref="A1:P7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f>B3-0.453</f>
        <v>9.7920000000000016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f>B4-0.449</f>
        <v>10.245000000000001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100/3.6</f>
        <v>27.777777777777779</v>
      </c>
      <c r="P3">
        <f>B3-B2</f>
        <v>0.4529999999999994</v>
      </c>
    </row>
    <row r="4" spans="1:16" x14ac:dyDescent="0.35">
      <c r="A4">
        <f t="shared" ref="A4:A6" si="0">A3+1</f>
        <v>3</v>
      </c>
      <c r="B4">
        <v>10.694000000000001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7" si="1">100/3.6</f>
        <v>27.777777777777779</v>
      </c>
      <c r="P4">
        <f>B4-B3</f>
        <v>0.44899999999999984</v>
      </c>
    </row>
    <row r="5" spans="1:16" x14ac:dyDescent="0.35">
      <c r="A5">
        <f t="shared" si="0"/>
        <v>4</v>
      </c>
      <c r="B5">
        <v>10.987</v>
      </c>
      <c r="C5">
        <v>0</v>
      </c>
      <c r="I5">
        <f t="shared" ref="I5:I7" si="2">I4+1</f>
        <v>102</v>
      </c>
      <c r="J5">
        <v>3</v>
      </c>
      <c r="K5">
        <f>A5</f>
        <v>4</v>
      </c>
      <c r="L5">
        <v>10000</v>
      </c>
      <c r="M5">
        <v>0</v>
      </c>
      <c r="N5">
        <f t="shared" si="1"/>
        <v>27.777777777777779</v>
      </c>
      <c r="P5">
        <f>B5-B4</f>
        <v>0.29299999999999926</v>
      </c>
    </row>
    <row r="6" spans="1:16" x14ac:dyDescent="0.35">
      <c r="A6">
        <f t="shared" si="0"/>
        <v>5</v>
      </c>
      <c r="B6">
        <v>11.14</v>
      </c>
      <c r="C6">
        <v>0</v>
      </c>
      <c r="F6">
        <v>1</v>
      </c>
      <c r="I6">
        <f t="shared" si="2"/>
        <v>103</v>
      </c>
      <c r="J6">
        <v>4</v>
      </c>
      <c r="K6">
        <f>A6</f>
        <v>5</v>
      </c>
      <c r="L6">
        <v>10000</v>
      </c>
      <c r="M6">
        <v>0</v>
      </c>
      <c r="N6">
        <f t="shared" si="1"/>
        <v>27.777777777777779</v>
      </c>
      <c r="P6">
        <f>B6-B5</f>
        <v>0.15300000000000047</v>
      </c>
    </row>
    <row r="7" spans="1:16" x14ac:dyDescent="0.35">
      <c r="A7">
        <v>6</v>
      </c>
      <c r="B7">
        <v>11.2</v>
      </c>
      <c r="C7">
        <v>0</v>
      </c>
      <c r="G7">
        <v>1</v>
      </c>
      <c r="H7">
        <v>0</v>
      </c>
      <c r="I7">
        <f t="shared" si="2"/>
        <v>104</v>
      </c>
      <c r="J7">
        <v>5</v>
      </c>
      <c r="K7">
        <f t="shared" ref="K7" si="3">A7</f>
        <v>6</v>
      </c>
      <c r="L7">
        <v>10000</v>
      </c>
      <c r="M7">
        <v>0</v>
      </c>
      <c r="N7">
        <f t="shared" si="1"/>
        <v>27.777777777777779</v>
      </c>
      <c r="P7">
        <f>B7-B6</f>
        <v>5.9999999999998721E-2</v>
      </c>
    </row>
  </sheetData>
  <autoFilter ref="A1:N7" xr:uid="{A9AE862B-EAA9-4F80-ACAF-6D99DA97390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53F4-CF7B-4498-9E62-4DB0E48687CD}">
  <dimension ref="A1:P8"/>
  <sheetViews>
    <sheetView zoomScale="70" zoomScaleNormal="70" workbookViewId="0">
      <selection activeCell="D5" activeCellId="1" sqref="B5 D5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41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17.600000000000001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17.655000000000001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8" si="0">B3-B2</f>
        <v>5.4999999999999716E-2</v>
      </c>
    </row>
    <row r="4" spans="1:16" x14ac:dyDescent="0.35">
      <c r="A4">
        <f t="shared" ref="A4:A6" si="1">A3+1</f>
        <v>3</v>
      </c>
      <c r="B4">
        <v>17.864999999999998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6" si="2">A4</f>
        <v>3</v>
      </c>
      <c r="L4">
        <v>10000</v>
      </c>
      <c r="M4">
        <v>0</v>
      </c>
      <c r="N4">
        <f t="shared" ref="N4:N8" si="3">60/3.6</f>
        <v>16.666666666666668</v>
      </c>
      <c r="P4">
        <f t="shared" si="0"/>
        <v>0.2099999999999973</v>
      </c>
    </row>
    <row r="5" spans="1:16" x14ac:dyDescent="0.35">
      <c r="A5">
        <f t="shared" si="1"/>
        <v>4</v>
      </c>
      <c r="B5">
        <v>18.641999999999999</v>
      </c>
      <c r="C5">
        <v>0</v>
      </c>
      <c r="D5" t="s">
        <v>18</v>
      </c>
      <c r="I5">
        <f t="shared" ref="I5:I6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16.666666666666668</v>
      </c>
      <c r="P5">
        <f t="shared" si="0"/>
        <v>0.77700000000000102</v>
      </c>
    </row>
    <row r="6" spans="1:16" x14ac:dyDescent="0.35">
      <c r="A6">
        <f t="shared" si="1"/>
        <v>5</v>
      </c>
      <c r="B6">
        <f>B5+0.09</f>
        <v>18.731999999999999</v>
      </c>
      <c r="C6">
        <v>0</v>
      </c>
      <c r="G6">
        <v>1</v>
      </c>
      <c r="H6">
        <v>1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16.666666666666668</v>
      </c>
      <c r="P6">
        <f t="shared" si="0"/>
        <v>8.9999999999999858E-2</v>
      </c>
    </row>
    <row r="7" spans="1:16" x14ac:dyDescent="0.35">
      <c r="A7">
        <v>6</v>
      </c>
      <c r="B7">
        <v>18.855</v>
      </c>
      <c r="C7">
        <v>0</v>
      </c>
      <c r="F7">
        <v>1</v>
      </c>
      <c r="I7">
        <f t="shared" ref="I7:I8" si="5">I6+1</f>
        <v>104</v>
      </c>
      <c r="J7">
        <v>5</v>
      </c>
      <c r="K7">
        <f t="shared" ref="K7:K8" si="6">A7</f>
        <v>6</v>
      </c>
      <c r="L7">
        <v>10000</v>
      </c>
      <c r="M7">
        <v>0</v>
      </c>
      <c r="N7">
        <f t="shared" si="3"/>
        <v>16.666666666666668</v>
      </c>
      <c r="P7">
        <f t="shared" si="0"/>
        <v>0.12300000000000111</v>
      </c>
    </row>
    <row r="8" spans="1:16" x14ac:dyDescent="0.35">
      <c r="A8">
        <v>7</v>
      </c>
      <c r="B8">
        <v>18.95</v>
      </c>
      <c r="C8">
        <v>0</v>
      </c>
      <c r="G8">
        <v>1</v>
      </c>
      <c r="H8">
        <v>0</v>
      </c>
      <c r="I8">
        <f t="shared" si="5"/>
        <v>105</v>
      </c>
      <c r="J8">
        <v>6</v>
      </c>
      <c r="K8">
        <f t="shared" si="6"/>
        <v>7</v>
      </c>
      <c r="L8">
        <v>10000</v>
      </c>
      <c r="M8">
        <v>0</v>
      </c>
      <c r="N8">
        <f t="shared" si="3"/>
        <v>16.666666666666668</v>
      </c>
      <c r="P8">
        <f t="shared" si="0"/>
        <v>9.4999999999998863E-2</v>
      </c>
    </row>
  </sheetData>
  <autoFilter ref="A1:N8" xr:uid="{295753F4-CF7B-4498-9E62-4DB0E48687C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DA7D-A61E-4AA3-BA3A-B3B85A54A012}">
  <dimension ref="A1:P8"/>
  <sheetViews>
    <sheetView zoomScale="85" zoomScaleNormal="85" workbookViewId="0">
      <selection activeCell="E1" sqref="E1:E1048576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17.8</v>
      </c>
      <c r="C2">
        <v>0</v>
      </c>
      <c r="G2">
        <v>1</v>
      </c>
      <c r="H2">
        <v>1</v>
      </c>
    </row>
    <row r="3" spans="1:16" x14ac:dyDescent="0.35">
      <c r="A3">
        <f t="shared" ref="A3:A8" si="0">A2+1</f>
        <v>2</v>
      </c>
      <c r="B3">
        <v>17.876999999999999</v>
      </c>
      <c r="C3">
        <v>0</v>
      </c>
      <c r="I3">
        <v>100</v>
      </c>
      <c r="J3">
        <v>1</v>
      </c>
      <c r="K3">
        <f t="shared" ref="K3:K8" si="1">A3</f>
        <v>2</v>
      </c>
      <c r="L3">
        <v>10000</v>
      </c>
      <c r="M3">
        <v>0</v>
      </c>
      <c r="N3">
        <f>60/3.6</f>
        <v>16.666666666666668</v>
      </c>
      <c r="P3">
        <f t="shared" ref="P3:P8" si="2">B3-B2</f>
        <v>7.6999999999998181E-2</v>
      </c>
    </row>
    <row r="4" spans="1:16" x14ac:dyDescent="0.35">
      <c r="A4">
        <f t="shared" si="0"/>
        <v>3</v>
      </c>
      <c r="B4">
        <v>17.95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 t="shared" si="1"/>
        <v>3</v>
      </c>
      <c r="L4">
        <v>10000</v>
      </c>
      <c r="M4">
        <v>0</v>
      </c>
      <c r="N4">
        <f>60/3.6</f>
        <v>16.666666666666668</v>
      </c>
      <c r="P4">
        <f t="shared" si="2"/>
        <v>7.3000000000000398E-2</v>
      </c>
    </row>
    <row r="5" spans="1:16" x14ac:dyDescent="0.35">
      <c r="A5">
        <f t="shared" si="0"/>
        <v>4</v>
      </c>
      <c r="B5">
        <v>18.641999999999999</v>
      </c>
      <c r="C5">
        <v>0</v>
      </c>
      <c r="D5" t="s">
        <v>18</v>
      </c>
      <c r="I5">
        <f t="shared" ref="I5:I8" si="3">I4+1</f>
        <v>102</v>
      </c>
      <c r="J5">
        <f t="shared" ref="J5:J8" si="4">J4+1</f>
        <v>3</v>
      </c>
      <c r="K5">
        <f t="shared" si="1"/>
        <v>4</v>
      </c>
      <c r="L5">
        <v>10000</v>
      </c>
      <c r="M5">
        <v>0</v>
      </c>
      <c r="N5">
        <f t="shared" ref="N5:N8" si="5">60/3.6</f>
        <v>16.666666666666668</v>
      </c>
      <c r="P5">
        <f t="shared" si="2"/>
        <v>0.69200000000000017</v>
      </c>
    </row>
    <row r="6" spans="1:16" x14ac:dyDescent="0.35">
      <c r="A6">
        <f t="shared" si="0"/>
        <v>5</v>
      </c>
      <c r="B6">
        <v>18.643000000000001</v>
      </c>
      <c r="C6">
        <v>0</v>
      </c>
      <c r="G6">
        <v>1</v>
      </c>
      <c r="H6">
        <v>1</v>
      </c>
      <c r="I6">
        <f t="shared" si="3"/>
        <v>103</v>
      </c>
      <c r="J6">
        <f t="shared" si="4"/>
        <v>4</v>
      </c>
      <c r="K6">
        <f t="shared" si="1"/>
        <v>5</v>
      </c>
      <c r="L6">
        <v>10000</v>
      </c>
      <c r="M6">
        <v>0</v>
      </c>
      <c r="N6">
        <f t="shared" si="5"/>
        <v>16.666666666666668</v>
      </c>
      <c r="P6">
        <f t="shared" si="2"/>
        <v>1.0000000000012221E-3</v>
      </c>
    </row>
    <row r="7" spans="1:16" x14ac:dyDescent="0.35">
      <c r="A7">
        <f t="shared" si="0"/>
        <v>6</v>
      </c>
      <c r="B7">
        <v>18.643999999999998</v>
      </c>
      <c r="C7">
        <v>0</v>
      </c>
      <c r="I7">
        <f t="shared" si="3"/>
        <v>104</v>
      </c>
      <c r="J7">
        <f t="shared" si="4"/>
        <v>5</v>
      </c>
      <c r="K7">
        <f t="shared" si="1"/>
        <v>6</v>
      </c>
      <c r="L7">
        <v>10000</v>
      </c>
      <c r="M7">
        <v>0</v>
      </c>
      <c r="N7">
        <f t="shared" si="5"/>
        <v>16.666666666666668</v>
      </c>
      <c r="P7">
        <f t="shared" si="2"/>
        <v>9.9999999999766942E-4</v>
      </c>
    </row>
    <row r="8" spans="1:16" x14ac:dyDescent="0.35">
      <c r="A8">
        <f t="shared" si="0"/>
        <v>7</v>
      </c>
      <c r="B8">
        <v>18.7</v>
      </c>
      <c r="C8">
        <v>0</v>
      </c>
      <c r="G8">
        <v>1</v>
      </c>
      <c r="H8">
        <v>1</v>
      </c>
      <c r="I8">
        <f t="shared" si="3"/>
        <v>105</v>
      </c>
      <c r="J8">
        <f t="shared" si="4"/>
        <v>6</v>
      </c>
      <c r="K8">
        <f t="shared" si="1"/>
        <v>7</v>
      </c>
      <c r="L8">
        <v>10000</v>
      </c>
      <c r="M8">
        <v>0</v>
      </c>
      <c r="N8">
        <f t="shared" si="5"/>
        <v>16.666666666666668</v>
      </c>
      <c r="P8">
        <f t="shared" si="2"/>
        <v>5.6000000000000938E-2</v>
      </c>
    </row>
  </sheetData>
  <autoFilter ref="A1:N8" xr:uid="{D2C0DA7D-A61E-4AA3-BA3A-B3B85A54A01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ACDF-EF0F-4D75-991D-EE5A383921B0}">
  <dimension ref="A1:P8"/>
  <sheetViews>
    <sheetView zoomScale="85" zoomScaleNormal="85" workbookViewId="0">
      <selection activeCell="B3" sqref="B3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17.78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17.805499999999999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8" si="0">B3-B2</f>
        <v>2.5499999999997414E-2</v>
      </c>
    </row>
    <row r="4" spans="1:16" x14ac:dyDescent="0.35">
      <c r="A4">
        <f t="shared" ref="A4:A6" si="1">A3+1</f>
        <v>3</v>
      </c>
      <c r="B4">
        <v>17.876999999999999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6" si="2">A4</f>
        <v>3</v>
      </c>
      <c r="L4">
        <v>10000</v>
      </c>
      <c r="M4">
        <v>0</v>
      </c>
      <c r="N4">
        <f t="shared" ref="N4:N8" si="3">60/3.6</f>
        <v>16.666666666666668</v>
      </c>
      <c r="P4">
        <f t="shared" si="0"/>
        <v>7.1500000000000341E-2</v>
      </c>
    </row>
    <row r="5" spans="1:16" x14ac:dyDescent="0.35">
      <c r="A5">
        <f t="shared" si="1"/>
        <v>4</v>
      </c>
      <c r="B5">
        <v>18.641999999999999</v>
      </c>
      <c r="C5">
        <v>0</v>
      </c>
      <c r="D5" t="s">
        <v>18</v>
      </c>
      <c r="I5">
        <f t="shared" ref="I5:I8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16.666666666666668</v>
      </c>
      <c r="P5">
        <f t="shared" si="0"/>
        <v>0.76500000000000057</v>
      </c>
    </row>
    <row r="6" spans="1:16" x14ac:dyDescent="0.35">
      <c r="A6">
        <f t="shared" si="1"/>
        <v>5</v>
      </c>
      <c r="B6">
        <v>18.643999999999998</v>
      </c>
      <c r="C6">
        <v>0</v>
      </c>
      <c r="G6">
        <v>1</v>
      </c>
      <c r="H6">
        <v>1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16.666666666666668</v>
      </c>
      <c r="P6">
        <f t="shared" si="0"/>
        <v>1.9999999999988916E-3</v>
      </c>
    </row>
    <row r="7" spans="1:16" x14ac:dyDescent="0.35">
      <c r="A7">
        <v>6</v>
      </c>
      <c r="B7">
        <v>18.71</v>
      </c>
      <c r="C7">
        <v>0</v>
      </c>
      <c r="F7">
        <v>1</v>
      </c>
      <c r="I7">
        <f t="shared" si="4"/>
        <v>104</v>
      </c>
      <c r="J7">
        <v>5</v>
      </c>
      <c r="K7">
        <f t="shared" ref="K7" si="5">A7</f>
        <v>6</v>
      </c>
      <c r="L7">
        <v>10000</v>
      </c>
      <c r="M7">
        <v>0</v>
      </c>
      <c r="N7">
        <f t="shared" si="3"/>
        <v>16.666666666666668</v>
      </c>
      <c r="P7">
        <f t="shared" si="0"/>
        <v>6.6000000000002501E-2</v>
      </c>
    </row>
    <row r="8" spans="1:16" x14ac:dyDescent="0.35">
      <c r="A8">
        <v>7</v>
      </c>
      <c r="B8">
        <v>18.75</v>
      </c>
      <c r="C8">
        <v>0</v>
      </c>
      <c r="G8">
        <v>1</v>
      </c>
      <c r="H8">
        <v>0</v>
      </c>
      <c r="I8">
        <f t="shared" si="4"/>
        <v>105</v>
      </c>
      <c r="J8">
        <v>6</v>
      </c>
      <c r="K8">
        <f t="shared" ref="K8" si="6">A8</f>
        <v>7</v>
      </c>
      <c r="L8">
        <v>10000</v>
      </c>
      <c r="M8">
        <v>0</v>
      </c>
      <c r="N8">
        <f t="shared" si="3"/>
        <v>16.666666666666668</v>
      </c>
      <c r="P8">
        <f t="shared" si="0"/>
        <v>3.9999999999999147E-2</v>
      </c>
    </row>
  </sheetData>
  <autoFilter ref="A1:N8" xr:uid="{723DACDF-EF0F-4D75-991D-EE5A383921B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6C3B-9E4E-414C-81AC-468B2D8990AE}">
  <dimension ref="A1:P9"/>
  <sheetViews>
    <sheetView zoomScale="70" zoomScaleNormal="70" workbookViewId="0">
      <selection activeCell="E1" sqref="E1:E1048576"/>
    </sheetView>
  </sheetViews>
  <sheetFormatPr defaultRowHeight="14.5" x14ac:dyDescent="0.35"/>
  <cols>
    <col min="4" max="4" width="13.9062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26.3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26.49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9" si="0">B3-B2</f>
        <v>0.18999999999999773</v>
      </c>
    </row>
    <row r="4" spans="1:16" x14ac:dyDescent="0.35">
      <c r="A4">
        <f t="shared" ref="A4:A9" si="1">A3+1</f>
        <v>3</v>
      </c>
      <c r="B4">
        <v>26.533999999999999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7" si="2">A4</f>
        <v>3</v>
      </c>
      <c r="L4">
        <v>10000</v>
      </c>
      <c r="M4">
        <v>0</v>
      </c>
      <c r="N4">
        <f t="shared" ref="N4:N6" si="3">30/3.6</f>
        <v>8.3333333333333339</v>
      </c>
      <c r="P4">
        <f t="shared" si="0"/>
        <v>4.4000000000000483E-2</v>
      </c>
    </row>
    <row r="5" spans="1:16" x14ac:dyDescent="0.35">
      <c r="A5">
        <f t="shared" si="1"/>
        <v>4</v>
      </c>
      <c r="B5">
        <v>26.878</v>
      </c>
      <c r="C5">
        <v>0</v>
      </c>
      <c r="I5">
        <f t="shared" ref="I5:I7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8.3333333333333339</v>
      </c>
      <c r="P5">
        <f t="shared" si="0"/>
        <v>0.34400000000000119</v>
      </c>
    </row>
    <row r="6" spans="1:16" x14ac:dyDescent="0.35">
      <c r="A6">
        <f t="shared" si="1"/>
        <v>5</v>
      </c>
      <c r="B6">
        <v>27.152000000000001</v>
      </c>
      <c r="C6">
        <v>0</v>
      </c>
      <c r="D6" t="s">
        <v>20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8.3333333333333339</v>
      </c>
      <c r="P6">
        <f t="shared" si="0"/>
        <v>0.27400000000000091</v>
      </c>
    </row>
    <row r="7" spans="1:16" x14ac:dyDescent="0.35">
      <c r="A7">
        <f t="shared" si="1"/>
        <v>6</v>
      </c>
      <c r="B7">
        <v>27.154</v>
      </c>
      <c r="C7">
        <v>0</v>
      </c>
      <c r="G7">
        <v>1</v>
      </c>
      <c r="H7">
        <v>1</v>
      </c>
      <c r="I7">
        <f t="shared" si="4"/>
        <v>104</v>
      </c>
      <c r="J7">
        <v>5</v>
      </c>
      <c r="K7">
        <f t="shared" si="2"/>
        <v>6</v>
      </c>
      <c r="L7">
        <v>10000</v>
      </c>
      <c r="M7">
        <v>0</v>
      </c>
      <c r="N7">
        <f>30/3.6</f>
        <v>8.3333333333333339</v>
      </c>
      <c r="P7">
        <f t="shared" si="0"/>
        <v>1.9999999999988916E-3</v>
      </c>
    </row>
    <row r="8" spans="1:16" x14ac:dyDescent="0.35">
      <c r="A8">
        <f t="shared" si="1"/>
        <v>7</v>
      </c>
      <c r="B8">
        <v>27.155000000000001</v>
      </c>
      <c r="C8">
        <v>0</v>
      </c>
      <c r="F8">
        <v>1</v>
      </c>
      <c r="I8">
        <f t="shared" ref="I8:I9" si="5">I7+1</f>
        <v>105</v>
      </c>
      <c r="J8">
        <v>6</v>
      </c>
      <c r="K8">
        <f t="shared" ref="K8:K9" si="6">A8</f>
        <v>7</v>
      </c>
      <c r="L8">
        <v>10000</v>
      </c>
      <c r="M8">
        <v>0</v>
      </c>
      <c r="N8">
        <f t="shared" ref="N8:N9" si="7">60/3.6</f>
        <v>16.666666666666668</v>
      </c>
      <c r="P8">
        <f t="shared" si="0"/>
        <v>1.0000000000012221E-3</v>
      </c>
    </row>
    <row r="9" spans="1:16" x14ac:dyDescent="0.35">
      <c r="A9">
        <f t="shared" si="1"/>
        <v>8</v>
      </c>
      <c r="B9">
        <v>27.2</v>
      </c>
      <c r="C9">
        <v>0</v>
      </c>
      <c r="G9">
        <v>1</v>
      </c>
      <c r="H9">
        <v>0</v>
      </c>
      <c r="I9">
        <f t="shared" si="5"/>
        <v>106</v>
      </c>
      <c r="J9">
        <v>7</v>
      </c>
      <c r="K9">
        <f t="shared" si="6"/>
        <v>8</v>
      </c>
      <c r="L9">
        <v>10000</v>
      </c>
      <c r="M9">
        <v>0</v>
      </c>
      <c r="N9">
        <f t="shared" si="7"/>
        <v>16.666666666666668</v>
      </c>
      <c r="P9">
        <f t="shared" si="0"/>
        <v>4.4999999999998153E-2</v>
      </c>
    </row>
  </sheetData>
  <autoFilter ref="A1:N9" xr:uid="{CB266C3B-9E4E-414C-81AC-468B2D8990AE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96C0-52C9-4555-AF90-8AC1693FE0B8}">
  <dimension ref="A1:Q35"/>
  <sheetViews>
    <sheetView topLeftCell="A13" zoomScale="55" zoomScaleNormal="55" workbookViewId="0">
      <selection activeCell="D32" activeCellId="1" sqref="B32 D32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7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Q1" t="s">
        <v>12</v>
      </c>
    </row>
    <row r="2" spans="1:17" x14ac:dyDescent="0.35">
      <c r="A2">
        <v>1</v>
      </c>
      <c r="B2">
        <v>27.5</v>
      </c>
      <c r="C2">
        <v>0</v>
      </c>
      <c r="G2">
        <v>1</v>
      </c>
      <c r="H2">
        <v>0</v>
      </c>
    </row>
    <row r="3" spans="1:17" x14ac:dyDescent="0.35">
      <c r="A3">
        <f>A2+1</f>
        <v>2</v>
      </c>
      <c r="B3">
        <v>27.62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100/3.6</f>
        <v>27.777777777777779</v>
      </c>
      <c r="Q3">
        <f t="shared" ref="Q3:Q35" si="0">B3-B2</f>
        <v>0.12000000000000099</v>
      </c>
    </row>
    <row r="4" spans="1:17" x14ac:dyDescent="0.35">
      <c r="A4">
        <f t="shared" ref="A4:A35" si="1">A3+1</f>
        <v>3</v>
      </c>
      <c r="B4">
        <v>27.895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7" si="2">A4</f>
        <v>3</v>
      </c>
      <c r="L4">
        <v>10000</v>
      </c>
      <c r="M4">
        <v>0</v>
      </c>
      <c r="N4">
        <f t="shared" ref="N4:N35" si="3">100/3.6</f>
        <v>27.777777777777779</v>
      </c>
      <c r="Q4">
        <f t="shared" si="0"/>
        <v>0.27499999999999858</v>
      </c>
    </row>
    <row r="5" spans="1:17" x14ac:dyDescent="0.35">
      <c r="A5">
        <f t="shared" si="1"/>
        <v>4</v>
      </c>
      <c r="B5">
        <v>28.184999999999999</v>
      </c>
      <c r="C5">
        <v>0</v>
      </c>
      <c r="G5">
        <v>1</v>
      </c>
      <c r="H5">
        <v>1</v>
      </c>
      <c r="I5">
        <f t="shared" ref="I5:I35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27.777777777777779</v>
      </c>
      <c r="Q5">
        <f t="shared" si="0"/>
        <v>0.28999999999999915</v>
      </c>
    </row>
    <row r="6" spans="1:17" x14ac:dyDescent="0.35">
      <c r="A6">
        <f t="shared" si="1"/>
        <v>5</v>
      </c>
      <c r="B6">
        <v>28.3</v>
      </c>
      <c r="C6">
        <v>0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27.777777777777779</v>
      </c>
      <c r="Q6">
        <f t="shared" si="0"/>
        <v>0.11500000000000199</v>
      </c>
    </row>
    <row r="7" spans="1:17" x14ac:dyDescent="0.35">
      <c r="A7">
        <f t="shared" si="1"/>
        <v>6</v>
      </c>
      <c r="B7">
        <v>28.7</v>
      </c>
      <c r="C7">
        <v>0</v>
      </c>
      <c r="I7">
        <f t="shared" si="4"/>
        <v>104</v>
      </c>
      <c r="J7">
        <v>5</v>
      </c>
      <c r="K7">
        <f t="shared" si="2"/>
        <v>6</v>
      </c>
      <c r="L7">
        <v>10000</v>
      </c>
      <c r="M7">
        <v>0</v>
      </c>
      <c r="N7">
        <f t="shared" si="3"/>
        <v>27.777777777777779</v>
      </c>
      <c r="Q7">
        <f t="shared" si="0"/>
        <v>0.39999999999999858</v>
      </c>
    </row>
    <row r="8" spans="1:17" x14ac:dyDescent="0.35">
      <c r="A8">
        <f t="shared" si="1"/>
        <v>7</v>
      </c>
      <c r="B8">
        <v>28.79</v>
      </c>
      <c r="C8">
        <v>0</v>
      </c>
      <c r="I8">
        <f t="shared" si="4"/>
        <v>105</v>
      </c>
      <c r="J8">
        <v>6</v>
      </c>
      <c r="K8">
        <f t="shared" ref="K8:K26" si="5">A8</f>
        <v>7</v>
      </c>
      <c r="L8">
        <v>10000</v>
      </c>
      <c r="M8">
        <v>0</v>
      </c>
      <c r="N8">
        <f t="shared" si="3"/>
        <v>27.777777777777779</v>
      </c>
      <c r="Q8">
        <f t="shared" si="0"/>
        <v>8.9999999999999858E-2</v>
      </c>
    </row>
    <row r="9" spans="1:17" x14ac:dyDescent="0.35">
      <c r="A9">
        <f t="shared" si="1"/>
        <v>8</v>
      </c>
      <c r="B9">
        <v>28.9</v>
      </c>
      <c r="C9">
        <v>0</v>
      </c>
      <c r="I9">
        <f t="shared" si="4"/>
        <v>106</v>
      </c>
      <c r="J9">
        <v>7</v>
      </c>
      <c r="K9">
        <f t="shared" si="5"/>
        <v>8</v>
      </c>
      <c r="L9">
        <v>10000</v>
      </c>
      <c r="M9">
        <v>0</v>
      </c>
      <c r="N9">
        <f t="shared" si="3"/>
        <v>27.777777777777779</v>
      </c>
      <c r="Q9">
        <f t="shared" si="0"/>
        <v>0.10999999999999943</v>
      </c>
    </row>
    <row r="10" spans="1:17" x14ac:dyDescent="0.35">
      <c r="A10">
        <f t="shared" si="1"/>
        <v>9</v>
      </c>
      <c r="B10">
        <v>28.934999999999999</v>
      </c>
      <c r="C10">
        <v>0</v>
      </c>
      <c r="G10">
        <v>1</v>
      </c>
      <c r="H10">
        <v>-1</v>
      </c>
      <c r="I10">
        <f t="shared" si="4"/>
        <v>107</v>
      </c>
      <c r="J10">
        <v>8</v>
      </c>
      <c r="K10">
        <f t="shared" si="5"/>
        <v>9</v>
      </c>
      <c r="L10">
        <v>10000</v>
      </c>
      <c r="M10">
        <v>0</v>
      </c>
      <c r="N10">
        <f t="shared" si="3"/>
        <v>27.777777777777779</v>
      </c>
      <c r="Q10">
        <f t="shared" si="0"/>
        <v>3.5000000000000142E-2</v>
      </c>
    </row>
    <row r="11" spans="1:17" x14ac:dyDescent="0.35">
      <c r="A11">
        <f t="shared" si="1"/>
        <v>10</v>
      </c>
      <c r="B11">
        <v>29.25</v>
      </c>
      <c r="C11">
        <v>0</v>
      </c>
      <c r="D11" t="s">
        <v>21</v>
      </c>
      <c r="I11">
        <f t="shared" si="4"/>
        <v>108</v>
      </c>
      <c r="J11">
        <v>9</v>
      </c>
      <c r="K11">
        <f t="shared" si="5"/>
        <v>10</v>
      </c>
      <c r="L11">
        <v>10000</v>
      </c>
      <c r="M11">
        <v>0</v>
      </c>
      <c r="N11">
        <f t="shared" si="3"/>
        <v>27.777777777777779</v>
      </c>
      <c r="Q11">
        <f t="shared" si="0"/>
        <v>0.31500000000000128</v>
      </c>
    </row>
    <row r="12" spans="1:17" x14ac:dyDescent="0.35">
      <c r="A12">
        <f t="shared" si="1"/>
        <v>11</v>
      </c>
      <c r="B12">
        <v>29.3</v>
      </c>
      <c r="C12">
        <v>0</v>
      </c>
      <c r="G12">
        <v>1</v>
      </c>
      <c r="H12">
        <v>1</v>
      </c>
      <c r="I12">
        <f t="shared" si="4"/>
        <v>109</v>
      </c>
      <c r="J12">
        <v>10</v>
      </c>
      <c r="K12">
        <f t="shared" si="5"/>
        <v>11</v>
      </c>
      <c r="L12">
        <v>10000</v>
      </c>
      <c r="M12">
        <v>0</v>
      </c>
      <c r="N12">
        <f t="shared" si="3"/>
        <v>27.777777777777779</v>
      </c>
      <c r="Q12">
        <f t="shared" si="0"/>
        <v>5.0000000000000711E-2</v>
      </c>
    </row>
    <row r="13" spans="1:17" x14ac:dyDescent="0.35">
      <c r="A13">
        <f t="shared" si="1"/>
        <v>12</v>
      </c>
      <c r="B13">
        <v>29.323</v>
      </c>
      <c r="C13">
        <v>0</v>
      </c>
      <c r="I13">
        <f t="shared" si="4"/>
        <v>110</v>
      </c>
      <c r="J13">
        <v>11</v>
      </c>
      <c r="K13">
        <f t="shared" si="5"/>
        <v>12</v>
      </c>
      <c r="L13">
        <v>10000</v>
      </c>
      <c r="M13">
        <v>0</v>
      </c>
      <c r="N13">
        <f t="shared" si="3"/>
        <v>27.777777777777779</v>
      </c>
      <c r="Q13">
        <f t="shared" si="0"/>
        <v>2.2999999999999687E-2</v>
      </c>
    </row>
    <row r="14" spans="1:17" x14ac:dyDescent="0.35">
      <c r="A14">
        <f t="shared" si="1"/>
        <v>13</v>
      </c>
      <c r="B14">
        <v>29.47</v>
      </c>
      <c r="C14">
        <v>0</v>
      </c>
      <c r="I14">
        <f t="shared" si="4"/>
        <v>111</v>
      </c>
      <c r="J14">
        <v>12</v>
      </c>
      <c r="K14">
        <f t="shared" si="5"/>
        <v>13</v>
      </c>
      <c r="L14">
        <v>10000</v>
      </c>
      <c r="M14">
        <v>0</v>
      </c>
      <c r="N14">
        <f t="shared" si="3"/>
        <v>27.777777777777779</v>
      </c>
      <c r="Q14">
        <f t="shared" si="0"/>
        <v>0.14699999999999847</v>
      </c>
    </row>
    <row r="15" spans="1:17" x14ac:dyDescent="0.35">
      <c r="A15">
        <f t="shared" si="1"/>
        <v>14</v>
      </c>
      <c r="B15">
        <v>29.5</v>
      </c>
      <c r="C15">
        <v>0</v>
      </c>
      <c r="F15">
        <v>1</v>
      </c>
      <c r="I15">
        <f t="shared" si="4"/>
        <v>112</v>
      </c>
      <c r="J15">
        <v>13</v>
      </c>
      <c r="K15">
        <f t="shared" si="5"/>
        <v>14</v>
      </c>
      <c r="L15">
        <v>10000</v>
      </c>
      <c r="M15">
        <v>0</v>
      </c>
      <c r="N15">
        <f t="shared" si="3"/>
        <v>27.777777777777779</v>
      </c>
      <c r="Q15">
        <f t="shared" si="0"/>
        <v>3.0000000000001137E-2</v>
      </c>
    </row>
    <row r="16" spans="1:17" x14ac:dyDescent="0.35">
      <c r="A16">
        <f t="shared" si="1"/>
        <v>15</v>
      </c>
      <c r="B16">
        <v>29.58</v>
      </c>
      <c r="C16">
        <v>0</v>
      </c>
      <c r="I16">
        <f t="shared" si="4"/>
        <v>113</v>
      </c>
      <c r="J16">
        <v>14</v>
      </c>
      <c r="K16">
        <f t="shared" si="5"/>
        <v>15</v>
      </c>
      <c r="L16">
        <v>10000</v>
      </c>
      <c r="M16">
        <v>0</v>
      </c>
      <c r="N16">
        <f t="shared" si="3"/>
        <v>27.777777777777779</v>
      </c>
      <c r="Q16">
        <f t="shared" si="0"/>
        <v>7.9999999999998295E-2</v>
      </c>
    </row>
    <row r="17" spans="1:17" x14ac:dyDescent="0.35">
      <c r="A17">
        <f t="shared" si="1"/>
        <v>16</v>
      </c>
      <c r="B17">
        <v>29.96</v>
      </c>
      <c r="C17">
        <v>0</v>
      </c>
      <c r="I17">
        <f t="shared" si="4"/>
        <v>114</v>
      </c>
      <c r="J17">
        <v>15</v>
      </c>
      <c r="K17">
        <f t="shared" si="5"/>
        <v>16</v>
      </c>
      <c r="L17">
        <v>10000</v>
      </c>
      <c r="M17">
        <v>0</v>
      </c>
      <c r="N17">
        <f t="shared" si="3"/>
        <v>27.777777777777779</v>
      </c>
      <c r="Q17">
        <f t="shared" si="0"/>
        <v>0.38000000000000256</v>
      </c>
    </row>
    <row r="18" spans="1:17" x14ac:dyDescent="0.35">
      <c r="A18">
        <f t="shared" si="1"/>
        <v>17</v>
      </c>
      <c r="B18">
        <v>29.97</v>
      </c>
      <c r="C18">
        <v>0</v>
      </c>
      <c r="I18">
        <f t="shared" si="4"/>
        <v>115</v>
      </c>
      <c r="J18">
        <v>16</v>
      </c>
      <c r="K18">
        <f t="shared" si="5"/>
        <v>17</v>
      </c>
      <c r="L18">
        <v>10000</v>
      </c>
      <c r="M18">
        <v>0</v>
      </c>
      <c r="N18">
        <f t="shared" si="3"/>
        <v>27.777777777777779</v>
      </c>
      <c r="Q18">
        <f t="shared" si="0"/>
        <v>9.9999999999980105E-3</v>
      </c>
    </row>
    <row r="19" spans="1:17" x14ac:dyDescent="0.35">
      <c r="A19">
        <f t="shared" si="1"/>
        <v>18</v>
      </c>
      <c r="B19">
        <v>30.251999999999999</v>
      </c>
      <c r="C19">
        <v>0</v>
      </c>
      <c r="I19">
        <f t="shared" si="4"/>
        <v>116</v>
      </c>
      <c r="J19">
        <v>17</v>
      </c>
      <c r="K19">
        <f t="shared" si="5"/>
        <v>18</v>
      </c>
      <c r="L19">
        <v>10000</v>
      </c>
      <c r="M19">
        <v>0</v>
      </c>
      <c r="N19">
        <f t="shared" si="3"/>
        <v>27.777777777777779</v>
      </c>
      <c r="Q19">
        <f t="shared" si="0"/>
        <v>0.28200000000000003</v>
      </c>
    </row>
    <row r="20" spans="1:17" x14ac:dyDescent="0.35">
      <c r="A20">
        <f t="shared" si="1"/>
        <v>19</v>
      </c>
      <c r="B20">
        <v>30.49</v>
      </c>
      <c r="C20">
        <v>0</v>
      </c>
      <c r="G20">
        <v>1</v>
      </c>
      <c r="H20">
        <v>-1</v>
      </c>
      <c r="I20">
        <f t="shared" si="4"/>
        <v>117</v>
      </c>
      <c r="J20">
        <v>18</v>
      </c>
      <c r="K20">
        <f t="shared" si="5"/>
        <v>19</v>
      </c>
      <c r="L20">
        <v>10000</v>
      </c>
      <c r="M20">
        <v>0</v>
      </c>
      <c r="N20">
        <f t="shared" si="3"/>
        <v>27.777777777777779</v>
      </c>
      <c r="Q20">
        <f t="shared" si="0"/>
        <v>0.23799999999999955</v>
      </c>
    </row>
    <row r="21" spans="1:17" x14ac:dyDescent="0.35">
      <c r="A21">
        <f t="shared" si="1"/>
        <v>20</v>
      </c>
      <c r="B21">
        <v>30.77</v>
      </c>
      <c r="C21">
        <v>0</v>
      </c>
      <c r="G21">
        <v>1</v>
      </c>
      <c r="H21">
        <v>1</v>
      </c>
      <c r="I21">
        <f t="shared" si="4"/>
        <v>118</v>
      </c>
      <c r="J21">
        <v>19</v>
      </c>
      <c r="K21">
        <f t="shared" si="5"/>
        <v>20</v>
      </c>
      <c r="L21">
        <v>10000</v>
      </c>
      <c r="M21">
        <v>0</v>
      </c>
      <c r="N21">
        <f t="shared" si="3"/>
        <v>27.777777777777779</v>
      </c>
      <c r="Q21">
        <f t="shared" si="0"/>
        <v>0.28000000000000114</v>
      </c>
    </row>
    <row r="22" spans="1:17" x14ac:dyDescent="0.35">
      <c r="A22">
        <f t="shared" si="1"/>
        <v>21</v>
      </c>
      <c r="B22">
        <v>31.395</v>
      </c>
      <c r="C22">
        <v>0</v>
      </c>
      <c r="G22">
        <v>1</v>
      </c>
      <c r="H22">
        <v>-1</v>
      </c>
      <c r="I22">
        <f t="shared" si="4"/>
        <v>119</v>
      </c>
      <c r="J22">
        <v>20</v>
      </c>
      <c r="K22">
        <f t="shared" si="5"/>
        <v>21</v>
      </c>
      <c r="L22">
        <v>10000</v>
      </c>
      <c r="M22">
        <v>0</v>
      </c>
      <c r="N22">
        <f t="shared" si="3"/>
        <v>27.777777777777779</v>
      </c>
      <c r="Q22">
        <f t="shared" si="0"/>
        <v>0.625</v>
      </c>
    </row>
    <row r="23" spans="1:17" x14ac:dyDescent="0.35">
      <c r="A23">
        <f t="shared" si="1"/>
        <v>22</v>
      </c>
      <c r="B23">
        <v>32.078000000000003</v>
      </c>
      <c r="C23">
        <v>0</v>
      </c>
      <c r="G23">
        <v>1</v>
      </c>
      <c r="H23">
        <v>1</v>
      </c>
      <c r="I23">
        <f t="shared" si="4"/>
        <v>120</v>
      </c>
      <c r="J23">
        <v>21</v>
      </c>
      <c r="K23">
        <f t="shared" si="5"/>
        <v>22</v>
      </c>
      <c r="L23">
        <v>10000</v>
      </c>
      <c r="M23">
        <v>0</v>
      </c>
      <c r="N23">
        <f t="shared" si="3"/>
        <v>27.777777777777779</v>
      </c>
      <c r="Q23">
        <f t="shared" si="0"/>
        <v>0.68300000000000338</v>
      </c>
    </row>
    <row r="24" spans="1:17" x14ac:dyDescent="0.35">
      <c r="A24">
        <f t="shared" si="1"/>
        <v>23</v>
      </c>
      <c r="B24">
        <v>32.344999999999999</v>
      </c>
      <c r="C24">
        <v>0</v>
      </c>
      <c r="F24">
        <v>1</v>
      </c>
      <c r="I24">
        <f t="shared" si="4"/>
        <v>121</v>
      </c>
      <c r="J24">
        <v>22</v>
      </c>
      <c r="K24">
        <f t="shared" si="5"/>
        <v>23</v>
      </c>
      <c r="L24">
        <v>10000</v>
      </c>
      <c r="M24">
        <v>0</v>
      </c>
      <c r="N24">
        <f t="shared" si="3"/>
        <v>27.777777777777779</v>
      </c>
      <c r="Q24">
        <f t="shared" si="0"/>
        <v>0.26699999999999591</v>
      </c>
    </row>
    <row r="25" spans="1:17" x14ac:dyDescent="0.35">
      <c r="A25">
        <f t="shared" si="1"/>
        <v>24</v>
      </c>
      <c r="B25">
        <v>32.423000000000002</v>
      </c>
      <c r="C25">
        <v>0</v>
      </c>
      <c r="I25">
        <f t="shared" si="4"/>
        <v>122</v>
      </c>
      <c r="J25">
        <v>23</v>
      </c>
      <c r="K25">
        <f t="shared" si="5"/>
        <v>24</v>
      </c>
      <c r="L25">
        <v>10000</v>
      </c>
      <c r="M25">
        <v>0</v>
      </c>
      <c r="N25">
        <f t="shared" si="3"/>
        <v>27.777777777777779</v>
      </c>
      <c r="Q25">
        <f t="shared" si="0"/>
        <v>7.8000000000002956E-2</v>
      </c>
    </row>
    <row r="26" spans="1:17" x14ac:dyDescent="0.35">
      <c r="A26">
        <f t="shared" si="1"/>
        <v>25</v>
      </c>
      <c r="B26">
        <v>32.479999999999997</v>
      </c>
      <c r="C26">
        <v>0</v>
      </c>
      <c r="F26">
        <v>1</v>
      </c>
      <c r="I26">
        <f t="shared" si="4"/>
        <v>123</v>
      </c>
      <c r="J26">
        <v>24</v>
      </c>
      <c r="K26">
        <f t="shared" si="5"/>
        <v>25</v>
      </c>
      <c r="L26">
        <v>10000</v>
      </c>
      <c r="M26">
        <v>0</v>
      </c>
      <c r="N26">
        <f t="shared" si="3"/>
        <v>27.777777777777779</v>
      </c>
      <c r="Q26">
        <f t="shared" si="0"/>
        <v>5.6999999999995055E-2</v>
      </c>
    </row>
    <row r="27" spans="1:17" x14ac:dyDescent="0.35">
      <c r="A27">
        <f t="shared" si="1"/>
        <v>26</v>
      </c>
      <c r="B27">
        <v>32.56</v>
      </c>
      <c r="C27">
        <v>0</v>
      </c>
      <c r="I27">
        <f t="shared" si="4"/>
        <v>124</v>
      </c>
      <c r="J27">
        <v>25</v>
      </c>
      <c r="K27">
        <f t="shared" ref="K27:K35" si="6">A27</f>
        <v>26</v>
      </c>
      <c r="L27">
        <v>10000</v>
      </c>
      <c r="M27">
        <v>0</v>
      </c>
      <c r="N27">
        <f t="shared" si="3"/>
        <v>27.777777777777779</v>
      </c>
      <c r="Q27">
        <f t="shared" si="0"/>
        <v>8.00000000000054E-2</v>
      </c>
    </row>
    <row r="28" spans="1:17" x14ac:dyDescent="0.35">
      <c r="A28">
        <f t="shared" si="1"/>
        <v>27</v>
      </c>
      <c r="B28">
        <v>32.72</v>
      </c>
      <c r="C28">
        <v>0</v>
      </c>
      <c r="I28">
        <f t="shared" si="4"/>
        <v>125</v>
      </c>
      <c r="J28">
        <v>26</v>
      </c>
      <c r="K28">
        <f t="shared" si="6"/>
        <v>27</v>
      </c>
      <c r="L28">
        <v>10000</v>
      </c>
      <c r="M28">
        <v>0</v>
      </c>
      <c r="N28">
        <f t="shared" si="3"/>
        <v>27.777777777777779</v>
      </c>
      <c r="Q28">
        <f t="shared" si="0"/>
        <v>0.15999999999999659</v>
      </c>
    </row>
    <row r="29" spans="1:17" x14ac:dyDescent="0.35">
      <c r="A29">
        <f t="shared" si="1"/>
        <v>28</v>
      </c>
      <c r="B29">
        <v>32.799999999999997</v>
      </c>
      <c r="C29">
        <v>0</v>
      </c>
      <c r="I29">
        <f t="shared" si="4"/>
        <v>126</v>
      </c>
      <c r="J29">
        <v>27</v>
      </c>
      <c r="K29">
        <f t="shared" si="6"/>
        <v>28</v>
      </c>
      <c r="L29">
        <v>10000</v>
      </c>
      <c r="M29">
        <v>0</v>
      </c>
      <c r="N29">
        <f t="shared" si="3"/>
        <v>27.777777777777779</v>
      </c>
      <c r="Q29">
        <f t="shared" si="0"/>
        <v>7.9999999999998295E-2</v>
      </c>
    </row>
    <row r="30" spans="1:17" x14ac:dyDescent="0.35">
      <c r="A30">
        <f t="shared" si="1"/>
        <v>29</v>
      </c>
      <c r="B30">
        <v>32.89</v>
      </c>
      <c r="C30">
        <v>0</v>
      </c>
      <c r="G30">
        <v>1</v>
      </c>
      <c r="H30">
        <v>-1</v>
      </c>
      <c r="I30">
        <f t="shared" si="4"/>
        <v>127</v>
      </c>
      <c r="J30">
        <v>28</v>
      </c>
      <c r="K30">
        <f t="shared" si="6"/>
        <v>29</v>
      </c>
      <c r="L30">
        <v>10000</v>
      </c>
      <c r="M30">
        <v>0</v>
      </c>
      <c r="N30">
        <f t="shared" si="3"/>
        <v>27.777777777777779</v>
      </c>
      <c r="Q30">
        <f t="shared" si="0"/>
        <v>9.0000000000003411E-2</v>
      </c>
    </row>
    <row r="31" spans="1:17" x14ac:dyDescent="0.35">
      <c r="A31">
        <f t="shared" si="1"/>
        <v>30</v>
      </c>
      <c r="B31">
        <v>32.981999999999999</v>
      </c>
      <c r="C31">
        <v>0</v>
      </c>
      <c r="I31">
        <f t="shared" si="4"/>
        <v>128</v>
      </c>
      <c r="J31">
        <v>29</v>
      </c>
      <c r="K31">
        <f t="shared" si="6"/>
        <v>30</v>
      </c>
      <c r="L31">
        <v>10000</v>
      </c>
      <c r="M31">
        <v>0</v>
      </c>
      <c r="N31">
        <f t="shared" si="3"/>
        <v>27.777777777777779</v>
      </c>
      <c r="Q31">
        <f t="shared" si="0"/>
        <v>9.1999999999998749E-2</v>
      </c>
    </row>
    <row r="32" spans="1:17" x14ac:dyDescent="0.35">
      <c r="A32">
        <f t="shared" si="1"/>
        <v>31</v>
      </c>
      <c r="B32">
        <v>33.143000000000001</v>
      </c>
      <c r="C32">
        <v>0</v>
      </c>
      <c r="D32" t="s">
        <v>29</v>
      </c>
      <c r="I32">
        <f t="shared" si="4"/>
        <v>129</v>
      </c>
      <c r="J32">
        <v>30</v>
      </c>
      <c r="K32">
        <f t="shared" si="6"/>
        <v>31</v>
      </c>
      <c r="L32">
        <v>10000</v>
      </c>
      <c r="M32">
        <v>0</v>
      </c>
      <c r="N32">
        <f t="shared" si="3"/>
        <v>27.777777777777779</v>
      </c>
      <c r="Q32">
        <f t="shared" si="0"/>
        <v>0.16100000000000136</v>
      </c>
    </row>
    <row r="33" spans="1:17" x14ac:dyDescent="0.35">
      <c r="A33">
        <f t="shared" si="1"/>
        <v>32</v>
      </c>
      <c r="B33">
        <v>33.207000000000001</v>
      </c>
      <c r="C33">
        <v>0</v>
      </c>
      <c r="G33">
        <v>1</v>
      </c>
      <c r="H33">
        <v>1</v>
      </c>
      <c r="I33">
        <f t="shared" si="4"/>
        <v>130</v>
      </c>
      <c r="J33">
        <v>31</v>
      </c>
      <c r="K33">
        <f t="shared" si="6"/>
        <v>32</v>
      </c>
      <c r="L33">
        <v>10000</v>
      </c>
      <c r="M33">
        <v>0</v>
      </c>
      <c r="N33">
        <f t="shared" si="3"/>
        <v>27.777777777777779</v>
      </c>
      <c r="Q33">
        <f t="shared" si="0"/>
        <v>6.4000000000000057E-2</v>
      </c>
    </row>
    <row r="34" spans="1:17" x14ac:dyDescent="0.35">
      <c r="A34">
        <f t="shared" si="1"/>
        <v>33</v>
      </c>
      <c r="B34">
        <v>33.322000000000003</v>
      </c>
      <c r="C34">
        <v>0</v>
      </c>
      <c r="I34">
        <f t="shared" si="4"/>
        <v>131</v>
      </c>
      <c r="J34">
        <v>32</v>
      </c>
      <c r="K34">
        <f t="shared" si="6"/>
        <v>33</v>
      </c>
      <c r="L34">
        <v>10000</v>
      </c>
      <c r="M34">
        <v>0</v>
      </c>
      <c r="N34">
        <f t="shared" si="3"/>
        <v>27.777777777777779</v>
      </c>
      <c r="Q34">
        <f t="shared" si="0"/>
        <v>0.11500000000000199</v>
      </c>
    </row>
    <row r="35" spans="1:17" x14ac:dyDescent="0.35">
      <c r="A35">
        <f t="shared" si="1"/>
        <v>34</v>
      </c>
      <c r="B35">
        <v>33.4</v>
      </c>
      <c r="C35">
        <v>0</v>
      </c>
      <c r="G35">
        <v>1</v>
      </c>
      <c r="H35">
        <v>0</v>
      </c>
      <c r="I35">
        <f t="shared" si="4"/>
        <v>132</v>
      </c>
      <c r="J35">
        <v>33</v>
      </c>
      <c r="K35">
        <f t="shared" si="6"/>
        <v>34</v>
      </c>
      <c r="L35">
        <v>10000</v>
      </c>
      <c r="M35">
        <v>0</v>
      </c>
      <c r="N35">
        <f t="shared" si="3"/>
        <v>27.777777777777779</v>
      </c>
      <c r="Q35">
        <f t="shared" si="0"/>
        <v>7.799999999999585E-2</v>
      </c>
    </row>
  </sheetData>
  <autoFilter ref="A1:N35" xr:uid="{2C7896C0-52C9-4555-AF90-8AC1693FE0B8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4857-CB37-4563-8267-D01601B15501}">
  <dimension ref="A1:P37"/>
  <sheetViews>
    <sheetView topLeftCell="A19" zoomScale="55" zoomScaleNormal="55" workbookViewId="0">
      <selection activeCell="E1" sqref="E1:E1048576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27.5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27.62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100/3.6</f>
        <v>27.777777777777779</v>
      </c>
      <c r="P3">
        <f t="shared" ref="P3:P37" si="0">B3-B2</f>
        <v>0.12000000000000099</v>
      </c>
    </row>
    <row r="4" spans="1:16" x14ac:dyDescent="0.35">
      <c r="A4">
        <f t="shared" ref="A4:A37" si="1">A3+1</f>
        <v>3</v>
      </c>
      <c r="B4">
        <v>27.895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26" si="2">A4</f>
        <v>3</v>
      </c>
      <c r="L4">
        <v>10000</v>
      </c>
      <c r="M4">
        <v>0</v>
      </c>
      <c r="N4">
        <f t="shared" ref="N4:N37" si="3">100/3.6</f>
        <v>27.777777777777779</v>
      </c>
      <c r="P4">
        <f t="shared" si="0"/>
        <v>0.27499999999999858</v>
      </c>
    </row>
    <row r="5" spans="1:16" x14ac:dyDescent="0.35">
      <c r="A5">
        <f t="shared" si="1"/>
        <v>4</v>
      </c>
      <c r="B5">
        <v>28.184999999999999</v>
      </c>
      <c r="C5">
        <v>0</v>
      </c>
      <c r="G5">
        <v>1</v>
      </c>
      <c r="H5">
        <v>1</v>
      </c>
      <c r="I5">
        <f t="shared" ref="I5:I37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27.777777777777779</v>
      </c>
      <c r="P5">
        <f t="shared" si="0"/>
        <v>0.28999999999999915</v>
      </c>
    </row>
    <row r="6" spans="1:16" x14ac:dyDescent="0.35">
      <c r="A6">
        <f t="shared" si="1"/>
        <v>5</v>
      </c>
      <c r="B6">
        <v>28.3</v>
      </c>
      <c r="C6">
        <v>0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27.777777777777779</v>
      </c>
      <c r="P6">
        <f t="shared" si="0"/>
        <v>0.11500000000000199</v>
      </c>
    </row>
    <row r="7" spans="1:16" x14ac:dyDescent="0.35">
      <c r="A7">
        <f t="shared" si="1"/>
        <v>6</v>
      </c>
      <c r="B7">
        <v>28.7</v>
      </c>
      <c r="C7">
        <v>0</v>
      </c>
      <c r="I7">
        <f t="shared" si="4"/>
        <v>104</v>
      </c>
      <c r="J7">
        <v>5</v>
      </c>
      <c r="K7">
        <f t="shared" si="2"/>
        <v>6</v>
      </c>
      <c r="L7">
        <v>10000</v>
      </c>
      <c r="M7">
        <v>0</v>
      </c>
      <c r="N7">
        <f t="shared" si="3"/>
        <v>27.777777777777779</v>
      </c>
      <c r="P7">
        <f t="shared" si="0"/>
        <v>0.39999999999999858</v>
      </c>
    </row>
    <row r="8" spans="1:16" x14ac:dyDescent="0.35">
      <c r="A8">
        <f t="shared" si="1"/>
        <v>7</v>
      </c>
      <c r="B8">
        <v>28.79</v>
      </c>
      <c r="C8">
        <v>0</v>
      </c>
      <c r="I8">
        <f t="shared" si="4"/>
        <v>105</v>
      </c>
      <c r="J8">
        <v>6</v>
      </c>
      <c r="K8">
        <f t="shared" si="2"/>
        <v>7</v>
      </c>
      <c r="L8">
        <v>10000</v>
      </c>
      <c r="M8">
        <v>0</v>
      </c>
      <c r="N8">
        <f t="shared" si="3"/>
        <v>27.777777777777779</v>
      </c>
      <c r="P8">
        <f t="shared" si="0"/>
        <v>8.9999999999999858E-2</v>
      </c>
    </row>
    <row r="9" spans="1:16" x14ac:dyDescent="0.35">
      <c r="A9">
        <f t="shared" si="1"/>
        <v>8</v>
      </c>
      <c r="B9">
        <v>28.9</v>
      </c>
      <c r="C9">
        <v>0</v>
      </c>
      <c r="I9">
        <f t="shared" si="4"/>
        <v>106</v>
      </c>
      <c r="J9">
        <v>7</v>
      </c>
      <c r="K9">
        <f t="shared" si="2"/>
        <v>8</v>
      </c>
      <c r="L9">
        <v>10000</v>
      </c>
      <c r="M9">
        <v>0</v>
      </c>
      <c r="N9">
        <f t="shared" si="3"/>
        <v>27.777777777777779</v>
      </c>
      <c r="P9">
        <f t="shared" si="0"/>
        <v>0.10999999999999943</v>
      </c>
    </row>
    <row r="10" spans="1:16" x14ac:dyDescent="0.35">
      <c r="A10">
        <f t="shared" si="1"/>
        <v>9</v>
      </c>
      <c r="B10">
        <v>28.934999999999999</v>
      </c>
      <c r="C10">
        <v>0</v>
      </c>
      <c r="G10">
        <v>1</v>
      </c>
      <c r="H10">
        <v>-1</v>
      </c>
      <c r="I10">
        <f t="shared" si="4"/>
        <v>107</v>
      </c>
      <c r="J10">
        <v>8</v>
      </c>
      <c r="K10">
        <f t="shared" si="2"/>
        <v>9</v>
      </c>
      <c r="L10">
        <v>10000</v>
      </c>
      <c r="M10">
        <v>0</v>
      </c>
      <c r="N10">
        <f t="shared" si="3"/>
        <v>27.777777777777779</v>
      </c>
      <c r="P10">
        <f t="shared" si="0"/>
        <v>3.5000000000000142E-2</v>
      </c>
    </row>
    <row r="11" spans="1:16" x14ac:dyDescent="0.35">
      <c r="A11">
        <f t="shared" si="1"/>
        <v>10</v>
      </c>
      <c r="B11">
        <v>29.25</v>
      </c>
      <c r="C11">
        <v>0</v>
      </c>
      <c r="D11" t="s">
        <v>21</v>
      </c>
      <c r="I11">
        <f t="shared" si="4"/>
        <v>108</v>
      </c>
      <c r="J11">
        <v>9</v>
      </c>
      <c r="K11">
        <f t="shared" si="2"/>
        <v>10</v>
      </c>
      <c r="L11">
        <v>10000</v>
      </c>
      <c r="M11">
        <v>0</v>
      </c>
      <c r="N11">
        <f t="shared" si="3"/>
        <v>27.777777777777779</v>
      </c>
      <c r="P11">
        <f t="shared" si="0"/>
        <v>0.31500000000000128</v>
      </c>
    </row>
    <row r="12" spans="1:16" x14ac:dyDescent="0.35">
      <c r="A12">
        <f t="shared" si="1"/>
        <v>11</v>
      </c>
      <c r="B12">
        <v>29.3</v>
      </c>
      <c r="C12">
        <v>0</v>
      </c>
      <c r="G12">
        <v>1</v>
      </c>
      <c r="H12">
        <v>1</v>
      </c>
      <c r="I12">
        <f t="shared" si="4"/>
        <v>109</v>
      </c>
      <c r="J12">
        <v>10</v>
      </c>
      <c r="K12">
        <f t="shared" si="2"/>
        <v>11</v>
      </c>
      <c r="L12">
        <v>10000</v>
      </c>
      <c r="M12">
        <v>0</v>
      </c>
      <c r="N12">
        <f t="shared" si="3"/>
        <v>27.777777777777779</v>
      </c>
      <c r="P12">
        <f t="shared" si="0"/>
        <v>5.0000000000000711E-2</v>
      </c>
    </row>
    <row r="13" spans="1:16" x14ac:dyDescent="0.35">
      <c r="A13">
        <f t="shared" si="1"/>
        <v>12</v>
      </c>
      <c r="B13">
        <v>29.323</v>
      </c>
      <c r="C13">
        <v>0</v>
      </c>
      <c r="I13">
        <f t="shared" si="4"/>
        <v>110</v>
      </c>
      <c r="J13">
        <v>11</v>
      </c>
      <c r="K13">
        <f t="shared" si="2"/>
        <v>12</v>
      </c>
      <c r="L13">
        <v>10000</v>
      </c>
      <c r="M13">
        <v>0</v>
      </c>
      <c r="N13">
        <f t="shared" si="3"/>
        <v>27.777777777777779</v>
      </c>
      <c r="P13">
        <f t="shared" si="0"/>
        <v>2.2999999999999687E-2</v>
      </c>
    </row>
    <row r="14" spans="1:16" x14ac:dyDescent="0.35">
      <c r="A14">
        <f t="shared" si="1"/>
        <v>13</v>
      </c>
      <c r="B14">
        <v>29.47</v>
      </c>
      <c r="C14">
        <v>0</v>
      </c>
      <c r="I14">
        <f t="shared" si="4"/>
        <v>111</v>
      </c>
      <c r="J14">
        <v>12</v>
      </c>
      <c r="K14">
        <f t="shared" si="2"/>
        <v>13</v>
      </c>
      <c r="L14">
        <v>10000</v>
      </c>
      <c r="M14">
        <v>0</v>
      </c>
      <c r="N14">
        <f t="shared" si="3"/>
        <v>27.777777777777779</v>
      </c>
      <c r="P14">
        <f t="shared" si="0"/>
        <v>0.14699999999999847</v>
      </c>
    </row>
    <row r="15" spans="1:16" x14ac:dyDescent="0.35">
      <c r="A15">
        <f t="shared" si="1"/>
        <v>14</v>
      </c>
      <c r="B15">
        <v>29.5</v>
      </c>
      <c r="C15">
        <v>0</v>
      </c>
      <c r="F15">
        <v>1</v>
      </c>
      <c r="I15">
        <f t="shared" si="4"/>
        <v>112</v>
      </c>
      <c r="J15">
        <v>13</v>
      </c>
      <c r="K15">
        <f t="shared" si="2"/>
        <v>14</v>
      </c>
      <c r="L15">
        <v>10000</v>
      </c>
      <c r="M15">
        <v>0</v>
      </c>
      <c r="N15">
        <f t="shared" si="3"/>
        <v>27.777777777777779</v>
      </c>
      <c r="P15">
        <f t="shared" si="0"/>
        <v>3.0000000000001137E-2</v>
      </c>
    </row>
    <row r="16" spans="1:16" x14ac:dyDescent="0.35">
      <c r="A16">
        <f t="shared" si="1"/>
        <v>15</v>
      </c>
      <c r="B16">
        <v>29.58</v>
      </c>
      <c r="C16">
        <v>0</v>
      </c>
      <c r="I16">
        <f t="shared" si="4"/>
        <v>113</v>
      </c>
      <c r="J16">
        <v>14</v>
      </c>
      <c r="K16">
        <f t="shared" si="2"/>
        <v>15</v>
      </c>
      <c r="L16">
        <v>10000</v>
      </c>
      <c r="M16">
        <v>0</v>
      </c>
      <c r="N16">
        <f t="shared" si="3"/>
        <v>27.777777777777779</v>
      </c>
      <c r="P16">
        <f t="shared" si="0"/>
        <v>7.9999999999998295E-2</v>
      </c>
    </row>
    <row r="17" spans="1:16" x14ac:dyDescent="0.35">
      <c r="A17">
        <f t="shared" si="1"/>
        <v>16</v>
      </c>
      <c r="B17">
        <v>29.96</v>
      </c>
      <c r="C17">
        <v>0</v>
      </c>
      <c r="I17">
        <f t="shared" si="4"/>
        <v>114</v>
      </c>
      <c r="J17">
        <v>15</v>
      </c>
      <c r="K17">
        <f t="shared" si="2"/>
        <v>16</v>
      </c>
      <c r="L17">
        <v>10000</v>
      </c>
      <c r="M17">
        <v>0</v>
      </c>
      <c r="N17">
        <f t="shared" si="3"/>
        <v>27.777777777777779</v>
      </c>
      <c r="P17">
        <f t="shared" si="0"/>
        <v>0.38000000000000256</v>
      </c>
    </row>
    <row r="18" spans="1:16" x14ac:dyDescent="0.35">
      <c r="A18">
        <f t="shared" si="1"/>
        <v>17</v>
      </c>
      <c r="B18">
        <v>29.97</v>
      </c>
      <c r="C18">
        <v>0</v>
      </c>
      <c r="I18">
        <f t="shared" si="4"/>
        <v>115</v>
      </c>
      <c r="J18">
        <v>16</v>
      </c>
      <c r="K18">
        <f t="shared" si="2"/>
        <v>17</v>
      </c>
      <c r="L18">
        <v>10000</v>
      </c>
      <c r="M18">
        <v>0</v>
      </c>
      <c r="N18">
        <f t="shared" si="3"/>
        <v>27.777777777777779</v>
      </c>
      <c r="P18">
        <f t="shared" si="0"/>
        <v>9.9999999999980105E-3</v>
      </c>
    </row>
    <row r="19" spans="1:16" x14ac:dyDescent="0.35">
      <c r="A19">
        <f t="shared" si="1"/>
        <v>18</v>
      </c>
      <c r="B19">
        <v>30.251999999999999</v>
      </c>
      <c r="C19">
        <v>0</v>
      </c>
      <c r="I19">
        <f t="shared" si="4"/>
        <v>116</v>
      </c>
      <c r="J19">
        <v>17</v>
      </c>
      <c r="K19">
        <f t="shared" si="2"/>
        <v>18</v>
      </c>
      <c r="L19">
        <v>10000</v>
      </c>
      <c r="M19">
        <v>0</v>
      </c>
      <c r="N19">
        <f t="shared" si="3"/>
        <v>27.777777777777779</v>
      </c>
      <c r="P19">
        <f t="shared" si="0"/>
        <v>0.28200000000000003</v>
      </c>
    </row>
    <row r="20" spans="1:16" x14ac:dyDescent="0.35">
      <c r="A20">
        <f t="shared" si="1"/>
        <v>19</v>
      </c>
      <c r="B20">
        <v>30.49</v>
      </c>
      <c r="C20">
        <v>0</v>
      </c>
      <c r="G20">
        <v>1</v>
      </c>
      <c r="H20">
        <v>-1</v>
      </c>
      <c r="I20">
        <f t="shared" si="4"/>
        <v>117</v>
      </c>
      <c r="J20">
        <v>18</v>
      </c>
      <c r="K20">
        <f t="shared" si="2"/>
        <v>19</v>
      </c>
      <c r="L20">
        <v>10000</v>
      </c>
      <c r="M20">
        <v>0</v>
      </c>
      <c r="N20">
        <f t="shared" si="3"/>
        <v>27.777777777777779</v>
      </c>
      <c r="P20">
        <f t="shared" si="0"/>
        <v>0.23799999999999955</v>
      </c>
    </row>
    <row r="21" spans="1:16" x14ac:dyDescent="0.35">
      <c r="A21">
        <f t="shared" si="1"/>
        <v>20</v>
      </c>
      <c r="B21">
        <v>30.77</v>
      </c>
      <c r="C21">
        <v>0</v>
      </c>
      <c r="G21">
        <v>1</v>
      </c>
      <c r="H21">
        <v>1</v>
      </c>
      <c r="I21">
        <f t="shared" si="4"/>
        <v>118</v>
      </c>
      <c r="J21">
        <v>19</v>
      </c>
      <c r="K21">
        <f t="shared" si="2"/>
        <v>20</v>
      </c>
      <c r="L21">
        <v>10000</v>
      </c>
      <c r="M21">
        <v>0</v>
      </c>
      <c r="N21">
        <f t="shared" si="3"/>
        <v>27.777777777777779</v>
      </c>
      <c r="P21">
        <f t="shared" si="0"/>
        <v>0.28000000000000114</v>
      </c>
    </row>
    <row r="22" spans="1:16" x14ac:dyDescent="0.35">
      <c r="A22">
        <f t="shared" si="1"/>
        <v>21</v>
      </c>
      <c r="B22">
        <v>31.395</v>
      </c>
      <c r="C22">
        <v>0</v>
      </c>
      <c r="G22">
        <v>1</v>
      </c>
      <c r="H22">
        <v>-1</v>
      </c>
      <c r="I22">
        <f t="shared" si="4"/>
        <v>119</v>
      </c>
      <c r="J22">
        <v>20</v>
      </c>
      <c r="K22">
        <f t="shared" si="2"/>
        <v>21</v>
      </c>
      <c r="L22">
        <v>10000</v>
      </c>
      <c r="M22">
        <v>0</v>
      </c>
      <c r="N22">
        <f t="shared" si="3"/>
        <v>27.777777777777779</v>
      </c>
      <c r="P22">
        <f t="shared" si="0"/>
        <v>0.625</v>
      </c>
    </row>
    <row r="23" spans="1:16" x14ac:dyDescent="0.35">
      <c r="A23">
        <f t="shared" si="1"/>
        <v>22</v>
      </c>
      <c r="B23">
        <v>32.078000000000003</v>
      </c>
      <c r="C23">
        <v>0</v>
      </c>
      <c r="G23">
        <v>1</v>
      </c>
      <c r="H23">
        <v>1</v>
      </c>
      <c r="I23">
        <f t="shared" si="4"/>
        <v>120</v>
      </c>
      <c r="J23">
        <v>21</v>
      </c>
      <c r="K23">
        <f t="shared" si="2"/>
        <v>22</v>
      </c>
      <c r="L23">
        <v>10000</v>
      </c>
      <c r="M23">
        <v>0</v>
      </c>
      <c r="N23">
        <f t="shared" si="3"/>
        <v>27.777777777777779</v>
      </c>
      <c r="P23">
        <f t="shared" si="0"/>
        <v>0.68300000000000338</v>
      </c>
    </row>
    <row r="24" spans="1:16" x14ac:dyDescent="0.35">
      <c r="A24">
        <f t="shared" si="1"/>
        <v>23</v>
      </c>
      <c r="B24">
        <v>32.344999999999999</v>
      </c>
      <c r="C24">
        <v>0</v>
      </c>
      <c r="F24">
        <v>1</v>
      </c>
      <c r="I24">
        <f t="shared" si="4"/>
        <v>121</v>
      </c>
      <c r="J24">
        <v>22</v>
      </c>
      <c r="K24">
        <f t="shared" si="2"/>
        <v>23</v>
      </c>
      <c r="L24">
        <v>10000</v>
      </c>
      <c r="M24">
        <v>0</v>
      </c>
      <c r="N24">
        <f t="shared" si="3"/>
        <v>27.777777777777779</v>
      </c>
      <c r="P24">
        <f t="shared" si="0"/>
        <v>0.26699999999999591</v>
      </c>
    </row>
    <row r="25" spans="1:16" x14ac:dyDescent="0.35">
      <c r="A25">
        <f t="shared" si="1"/>
        <v>24</v>
      </c>
      <c r="B25">
        <v>32.423000000000002</v>
      </c>
      <c r="C25">
        <v>0</v>
      </c>
      <c r="I25">
        <f t="shared" si="4"/>
        <v>122</v>
      </c>
      <c r="J25">
        <v>23</v>
      </c>
      <c r="K25">
        <f t="shared" si="2"/>
        <v>24</v>
      </c>
      <c r="L25">
        <v>10000</v>
      </c>
      <c r="M25">
        <v>0</v>
      </c>
      <c r="N25">
        <f t="shared" si="3"/>
        <v>27.777777777777779</v>
      </c>
      <c r="P25">
        <f t="shared" si="0"/>
        <v>7.8000000000002956E-2</v>
      </c>
    </row>
    <row r="26" spans="1:16" x14ac:dyDescent="0.35">
      <c r="A26">
        <f t="shared" si="1"/>
        <v>25</v>
      </c>
      <c r="B26">
        <v>32.479999999999997</v>
      </c>
      <c r="C26">
        <v>0</v>
      </c>
      <c r="F26">
        <v>1</v>
      </c>
      <c r="I26">
        <f t="shared" si="4"/>
        <v>123</v>
      </c>
      <c r="J26">
        <v>24</v>
      </c>
      <c r="K26">
        <f t="shared" si="2"/>
        <v>25</v>
      </c>
      <c r="L26">
        <v>10000</v>
      </c>
      <c r="M26">
        <v>0</v>
      </c>
      <c r="N26">
        <f t="shared" si="3"/>
        <v>27.777777777777779</v>
      </c>
      <c r="P26">
        <f t="shared" si="0"/>
        <v>5.6999999999995055E-2</v>
      </c>
    </row>
    <row r="27" spans="1:16" x14ac:dyDescent="0.35">
      <c r="A27">
        <f t="shared" si="1"/>
        <v>26</v>
      </c>
      <c r="B27">
        <v>32.56</v>
      </c>
      <c r="C27">
        <v>0</v>
      </c>
      <c r="I27">
        <f t="shared" si="4"/>
        <v>124</v>
      </c>
      <c r="J27">
        <v>25</v>
      </c>
      <c r="K27">
        <f t="shared" ref="K27:K37" si="5">A27</f>
        <v>26</v>
      </c>
      <c r="L27">
        <v>10000</v>
      </c>
      <c r="M27">
        <v>0</v>
      </c>
      <c r="N27">
        <f t="shared" si="3"/>
        <v>27.777777777777779</v>
      </c>
      <c r="P27">
        <f t="shared" si="0"/>
        <v>8.00000000000054E-2</v>
      </c>
    </row>
    <row r="28" spans="1:16" x14ac:dyDescent="0.35">
      <c r="A28">
        <f t="shared" si="1"/>
        <v>27</v>
      </c>
      <c r="B28">
        <v>32.69</v>
      </c>
      <c r="C28">
        <v>0</v>
      </c>
      <c r="F28">
        <v>1</v>
      </c>
      <c r="I28">
        <f t="shared" si="4"/>
        <v>125</v>
      </c>
      <c r="J28">
        <v>26</v>
      </c>
      <c r="K28">
        <f t="shared" si="5"/>
        <v>27</v>
      </c>
      <c r="L28">
        <v>10000</v>
      </c>
      <c r="M28">
        <v>0</v>
      </c>
      <c r="N28">
        <f t="shared" si="3"/>
        <v>27.777777777777779</v>
      </c>
      <c r="P28">
        <f t="shared" si="0"/>
        <v>0.12999999999999545</v>
      </c>
    </row>
    <row r="29" spans="1:16" x14ac:dyDescent="0.35">
      <c r="A29">
        <f t="shared" si="1"/>
        <v>28</v>
      </c>
      <c r="B29">
        <v>32.72</v>
      </c>
      <c r="C29">
        <v>0</v>
      </c>
      <c r="I29">
        <f t="shared" si="4"/>
        <v>126</v>
      </c>
      <c r="J29">
        <v>27</v>
      </c>
      <c r="K29">
        <f t="shared" si="5"/>
        <v>28</v>
      </c>
      <c r="L29">
        <v>10000</v>
      </c>
      <c r="M29">
        <v>0</v>
      </c>
      <c r="N29">
        <f t="shared" si="3"/>
        <v>27.777777777777779</v>
      </c>
      <c r="P29">
        <f t="shared" si="0"/>
        <v>3.0000000000001137E-2</v>
      </c>
    </row>
    <row r="30" spans="1:16" x14ac:dyDescent="0.35">
      <c r="A30">
        <f t="shared" si="1"/>
        <v>29</v>
      </c>
      <c r="B30">
        <v>32.83</v>
      </c>
      <c r="C30">
        <v>0</v>
      </c>
      <c r="G30">
        <v>1</v>
      </c>
      <c r="H30">
        <v>-1</v>
      </c>
      <c r="I30">
        <f t="shared" si="4"/>
        <v>127</v>
      </c>
      <c r="J30">
        <v>28</v>
      </c>
      <c r="K30">
        <f t="shared" si="5"/>
        <v>29</v>
      </c>
      <c r="L30">
        <v>10000</v>
      </c>
      <c r="M30">
        <v>0</v>
      </c>
      <c r="N30">
        <f t="shared" si="3"/>
        <v>27.777777777777779</v>
      </c>
      <c r="P30">
        <f t="shared" si="0"/>
        <v>0.10999999999999943</v>
      </c>
    </row>
    <row r="31" spans="1:16" x14ac:dyDescent="0.35">
      <c r="A31">
        <f t="shared" si="1"/>
        <v>30</v>
      </c>
      <c r="B31">
        <v>32.837000000000003</v>
      </c>
      <c r="C31">
        <v>0</v>
      </c>
      <c r="I31">
        <f t="shared" si="4"/>
        <v>128</v>
      </c>
      <c r="J31">
        <v>29</v>
      </c>
      <c r="K31">
        <f t="shared" si="5"/>
        <v>30</v>
      </c>
      <c r="L31">
        <v>10000</v>
      </c>
      <c r="M31">
        <v>0</v>
      </c>
      <c r="N31">
        <f t="shared" si="3"/>
        <v>27.777777777777779</v>
      </c>
      <c r="P31">
        <f t="shared" si="0"/>
        <v>7.0000000000050022E-3</v>
      </c>
    </row>
    <row r="32" spans="1:16" x14ac:dyDescent="0.35">
      <c r="A32">
        <f t="shared" si="1"/>
        <v>31</v>
      </c>
      <c r="B32">
        <v>32.987000000000002</v>
      </c>
      <c r="C32">
        <v>0</v>
      </c>
      <c r="G32">
        <v>1</v>
      </c>
      <c r="H32">
        <v>-1</v>
      </c>
      <c r="I32">
        <f t="shared" si="4"/>
        <v>129</v>
      </c>
      <c r="J32">
        <v>30</v>
      </c>
      <c r="K32">
        <f t="shared" si="5"/>
        <v>31</v>
      </c>
      <c r="L32">
        <v>10000</v>
      </c>
      <c r="M32">
        <v>0</v>
      </c>
      <c r="N32">
        <f t="shared" si="3"/>
        <v>27.777777777777779</v>
      </c>
      <c r="P32">
        <f t="shared" si="0"/>
        <v>0.14999999999999858</v>
      </c>
    </row>
    <row r="33" spans="1:16" x14ac:dyDescent="0.35">
      <c r="A33">
        <f t="shared" si="1"/>
        <v>32</v>
      </c>
      <c r="B33">
        <v>33.143000000000001</v>
      </c>
      <c r="C33">
        <v>0</v>
      </c>
      <c r="D33" t="s">
        <v>29</v>
      </c>
      <c r="I33">
        <f t="shared" si="4"/>
        <v>130</v>
      </c>
      <c r="J33">
        <v>31</v>
      </c>
      <c r="K33">
        <f t="shared" si="5"/>
        <v>32</v>
      </c>
      <c r="L33">
        <v>10000</v>
      </c>
      <c r="M33">
        <v>0</v>
      </c>
      <c r="N33">
        <f t="shared" si="3"/>
        <v>27.777777777777779</v>
      </c>
      <c r="P33">
        <f t="shared" si="0"/>
        <v>0.15599999999999881</v>
      </c>
    </row>
    <row r="34" spans="1:16" x14ac:dyDescent="0.35">
      <c r="A34">
        <f t="shared" si="1"/>
        <v>33</v>
      </c>
      <c r="B34">
        <v>33.253</v>
      </c>
      <c r="C34">
        <v>0</v>
      </c>
      <c r="I34">
        <f t="shared" si="4"/>
        <v>131</v>
      </c>
      <c r="J34">
        <v>32</v>
      </c>
      <c r="K34">
        <f t="shared" si="5"/>
        <v>33</v>
      </c>
      <c r="L34">
        <v>10000</v>
      </c>
      <c r="M34">
        <v>0</v>
      </c>
      <c r="N34">
        <f t="shared" si="3"/>
        <v>27.777777777777779</v>
      </c>
      <c r="P34">
        <f t="shared" si="0"/>
        <v>0.10999999999999943</v>
      </c>
    </row>
    <row r="35" spans="1:16" x14ac:dyDescent="0.35">
      <c r="A35">
        <f t="shared" si="1"/>
        <v>34</v>
      </c>
      <c r="B35">
        <v>33.338999999999999</v>
      </c>
      <c r="C35">
        <v>0</v>
      </c>
      <c r="G35">
        <v>1</v>
      </c>
      <c r="H35">
        <v>1</v>
      </c>
      <c r="I35">
        <f t="shared" si="4"/>
        <v>132</v>
      </c>
      <c r="J35">
        <v>33</v>
      </c>
      <c r="K35">
        <f t="shared" si="5"/>
        <v>34</v>
      </c>
      <c r="L35">
        <v>10000</v>
      </c>
      <c r="M35">
        <v>0</v>
      </c>
      <c r="N35">
        <f t="shared" si="3"/>
        <v>27.777777777777779</v>
      </c>
      <c r="P35">
        <f t="shared" si="0"/>
        <v>8.5999999999998522E-2</v>
      </c>
    </row>
    <row r="36" spans="1:16" x14ac:dyDescent="0.35">
      <c r="A36">
        <f t="shared" si="1"/>
        <v>35</v>
      </c>
      <c r="B36">
        <v>33.479999999999997</v>
      </c>
      <c r="C36">
        <v>0</v>
      </c>
      <c r="F36">
        <v>1</v>
      </c>
      <c r="I36">
        <f t="shared" si="4"/>
        <v>133</v>
      </c>
      <c r="J36">
        <v>34</v>
      </c>
      <c r="K36">
        <f t="shared" si="5"/>
        <v>35</v>
      </c>
      <c r="L36">
        <v>10000</v>
      </c>
      <c r="M36">
        <v>0</v>
      </c>
      <c r="N36">
        <f t="shared" si="3"/>
        <v>27.777777777777779</v>
      </c>
      <c r="P36">
        <f t="shared" si="0"/>
        <v>0.14099999999999824</v>
      </c>
    </row>
    <row r="37" spans="1:16" x14ac:dyDescent="0.35">
      <c r="A37">
        <f t="shared" si="1"/>
        <v>36</v>
      </c>
      <c r="B37">
        <v>33.5</v>
      </c>
      <c r="C37">
        <v>0</v>
      </c>
      <c r="G37">
        <v>1</v>
      </c>
      <c r="H37">
        <v>0</v>
      </c>
      <c r="I37">
        <f t="shared" si="4"/>
        <v>134</v>
      </c>
      <c r="J37">
        <v>35</v>
      </c>
      <c r="K37">
        <f t="shared" si="5"/>
        <v>36</v>
      </c>
      <c r="L37">
        <v>10000</v>
      </c>
      <c r="M37">
        <v>0</v>
      </c>
      <c r="N37">
        <f t="shared" si="3"/>
        <v>27.777777777777779</v>
      </c>
      <c r="P37">
        <f t="shared" si="0"/>
        <v>2.0000000000003126E-2</v>
      </c>
    </row>
  </sheetData>
  <autoFilter ref="A1:N37" xr:uid="{2F274857-CB37-4563-8267-D01601B15501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C455-DDDB-4858-AC18-69703D76F39F}">
  <dimension ref="A1:P131"/>
  <sheetViews>
    <sheetView topLeftCell="A106" zoomScale="55" zoomScaleNormal="55" workbookViewId="0">
      <selection activeCell="A2" sqref="A2:C131"/>
    </sheetView>
  </sheetViews>
  <sheetFormatPr defaultRowHeight="14.5" x14ac:dyDescent="0.35"/>
  <cols>
    <col min="4" max="4" width="13.90625" bestFit="1" customWidth="1"/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30.2</v>
      </c>
      <c r="C2">
        <v>0</v>
      </c>
      <c r="G2">
        <v>0</v>
      </c>
      <c r="H2">
        <v>1</v>
      </c>
    </row>
    <row r="3" spans="1:16" x14ac:dyDescent="0.35">
      <c r="A3">
        <f>A2+1</f>
        <v>2</v>
      </c>
      <c r="B3">
        <v>30.332000000000001</v>
      </c>
      <c r="C3">
        <v>0</v>
      </c>
      <c r="I3">
        <v>100</v>
      </c>
      <c r="J3">
        <v>1</v>
      </c>
      <c r="K3">
        <f t="shared" ref="K3:K4" si="0">A3</f>
        <v>2</v>
      </c>
      <c r="L3">
        <v>10000</v>
      </c>
      <c r="M3">
        <v>0</v>
      </c>
      <c r="N3">
        <f t="shared" ref="N3:N17" si="1">100/3.6</f>
        <v>27.777777777777779</v>
      </c>
      <c r="P3">
        <f t="shared" ref="P3:P13" si="2">B3-B2</f>
        <v>0.13200000000000145</v>
      </c>
    </row>
    <row r="4" spans="1:16" x14ac:dyDescent="0.35">
      <c r="A4">
        <f t="shared" ref="A4:A67" si="3">A3+1</f>
        <v>3</v>
      </c>
      <c r="B4">
        <v>30.57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si="0"/>
        <v>3</v>
      </c>
      <c r="L4">
        <v>10000</v>
      </c>
      <c r="M4">
        <v>0</v>
      </c>
      <c r="N4">
        <f t="shared" si="1"/>
        <v>27.777777777777779</v>
      </c>
      <c r="P4">
        <f t="shared" si="2"/>
        <v>0.23799999999999955</v>
      </c>
    </row>
    <row r="5" spans="1:16" x14ac:dyDescent="0.35">
      <c r="A5">
        <f t="shared" si="3"/>
        <v>4</v>
      </c>
      <c r="B5">
        <v>30.952000000000002</v>
      </c>
      <c r="C5">
        <v>0</v>
      </c>
      <c r="G5">
        <v>1</v>
      </c>
      <c r="H5">
        <v>1</v>
      </c>
      <c r="I5">
        <f t="shared" ref="I5:I68" si="4">I4+1</f>
        <v>102</v>
      </c>
      <c r="J5">
        <v>3</v>
      </c>
      <c r="K5">
        <f t="shared" ref="K5:K68" si="5">A5</f>
        <v>4</v>
      </c>
      <c r="L5">
        <v>10000</v>
      </c>
      <c r="M5">
        <v>0</v>
      </c>
      <c r="N5">
        <f t="shared" si="1"/>
        <v>27.777777777777779</v>
      </c>
      <c r="P5">
        <f t="shared" si="2"/>
        <v>0.38200000000000145</v>
      </c>
    </row>
    <row r="6" spans="1:16" x14ac:dyDescent="0.35">
      <c r="A6">
        <f t="shared" si="3"/>
        <v>5</v>
      </c>
      <c r="B6">
        <v>31.475000000000001</v>
      </c>
      <c r="C6">
        <v>0</v>
      </c>
      <c r="G6">
        <v>1</v>
      </c>
      <c r="H6">
        <v>-1</v>
      </c>
      <c r="I6">
        <f t="shared" si="4"/>
        <v>103</v>
      </c>
      <c r="J6">
        <v>4</v>
      </c>
      <c r="K6">
        <f t="shared" si="5"/>
        <v>5</v>
      </c>
      <c r="L6">
        <v>10000</v>
      </c>
      <c r="M6">
        <v>0</v>
      </c>
      <c r="N6">
        <f t="shared" si="1"/>
        <v>27.777777777777779</v>
      </c>
      <c r="P6">
        <f t="shared" si="2"/>
        <v>0.52299999999999969</v>
      </c>
    </row>
    <row r="7" spans="1:16" x14ac:dyDescent="0.35">
      <c r="A7">
        <f t="shared" si="3"/>
        <v>6</v>
      </c>
      <c r="B7">
        <v>32.078000000000003</v>
      </c>
      <c r="C7">
        <v>0</v>
      </c>
      <c r="G7">
        <v>1</v>
      </c>
      <c r="H7">
        <v>1</v>
      </c>
      <c r="I7">
        <f t="shared" si="4"/>
        <v>104</v>
      </c>
      <c r="J7">
        <v>5</v>
      </c>
      <c r="K7">
        <f t="shared" si="5"/>
        <v>6</v>
      </c>
      <c r="L7">
        <v>10000</v>
      </c>
      <c r="M7">
        <v>0</v>
      </c>
      <c r="N7">
        <f t="shared" si="1"/>
        <v>27.777777777777779</v>
      </c>
      <c r="P7">
        <f t="shared" si="2"/>
        <v>0.60300000000000153</v>
      </c>
    </row>
    <row r="8" spans="1:16" x14ac:dyDescent="0.35">
      <c r="A8">
        <f t="shared" si="3"/>
        <v>7</v>
      </c>
      <c r="B8">
        <v>32.344999999999999</v>
      </c>
      <c r="C8">
        <v>0</v>
      </c>
      <c r="I8">
        <f t="shared" si="4"/>
        <v>105</v>
      </c>
      <c r="J8">
        <v>6</v>
      </c>
      <c r="K8">
        <f t="shared" si="5"/>
        <v>7</v>
      </c>
      <c r="L8">
        <v>10000</v>
      </c>
      <c r="M8">
        <v>0</v>
      </c>
      <c r="N8">
        <f t="shared" si="1"/>
        <v>27.777777777777779</v>
      </c>
      <c r="P8">
        <f t="shared" si="2"/>
        <v>0.26699999999999591</v>
      </c>
    </row>
    <row r="9" spans="1:16" x14ac:dyDescent="0.35">
      <c r="A9">
        <f t="shared" si="3"/>
        <v>8</v>
      </c>
      <c r="B9">
        <v>32.423000000000002</v>
      </c>
      <c r="C9">
        <v>0</v>
      </c>
      <c r="F9">
        <v>1</v>
      </c>
      <c r="I9">
        <f t="shared" si="4"/>
        <v>106</v>
      </c>
      <c r="J9">
        <v>7</v>
      </c>
      <c r="K9">
        <f t="shared" si="5"/>
        <v>8</v>
      </c>
      <c r="L9">
        <v>10000</v>
      </c>
      <c r="M9">
        <v>0</v>
      </c>
      <c r="N9">
        <f t="shared" si="1"/>
        <v>27.777777777777779</v>
      </c>
      <c r="P9">
        <f t="shared" si="2"/>
        <v>7.8000000000002956E-2</v>
      </c>
    </row>
    <row r="10" spans="1:16" x14ac:dyDescent="0.35">
      <c r="A10">
        <f t="shared" si="3"/>
        <v>9</v>
      </c>
      <c r="B10">
        <v>32.479999999999997</v>
      </c>
      <c r="C10">
        <v>0</v>
      </c>
      <c r="I10">
        <f t="shared" si="4"/>
        <v>107</v>
      </c>
      <c r="J10">
        <v>8</v>
      </c>
      <c r="K10">
        <f t="shared" si="5"/>
        <v>9</v>
      </c>
      <c r="L10">
        <v>10000</v>
      </c>
      <c r="M10">
        <v>0</v>
      </c>
      <c r="N10">
        <f t="shared" si="1"/>
        <v>27.777777777777779</v>
      </c>
      <c r="P10">
        <f t="shared" si="2"/>
        <v>5.6999999999995055E-2</v>
      </c>
    </row>
    <row r="11" spans="1:16" x14ac:dyDescent="0.35">
      <c r="A11">
        <f t="shared" si="3"/>
        <v>10</v>
      </c>
      <c r="B11">
        <v>32.56</v>
      </c>
      <c r="C11">
        <v>0</v>
      </c>
      <c r="I11">
        <f t="shared" si="4"/>
        <v>108</v>
      </c>
      <c r="J11">
        <v>9</v>
      </c>
      <c r="K11">
        <f t="shared" si="5"/>
        <v>10</v>
      </c>
      <c r="L11">
        <v>10000</v>
      </c>
      <c r="M11">
        <v>0</v>
      </c>
      <c r="N11">
        <f t="shared" si="1"/>
        <v>27.777777777777779</v>
      </c>
      <c r="P11">
        <f t="shared" si="2"/>
        <v>8.00000000000054E-2</v>
      </c>
    </row>
    <row r="12" spans="1:16" x14ac:dyDescent="0.35">
      <c r="A12">
        <f t="shared" si="3"/>
        <v>11</v>
      </c>
      <c r="B12">
        <v>32.69</v>
      </c>
      <c r="C12">
        <v>0</v>
      </c>
      <c r="F12">
        <v>1</v>
      </c>
      <c r="I12">
        <f t="shared" si="4"/>
        <v>109</v>
      </c>
      <c r="J12">
        <v>10</v>
      </c>
      <c r="K12">
        <f t="shared" si="5"/>
        <v>11</v>
      </c>
      <c r="L12">
        <v>10000</v>
      </c>
      <c r="M12">
        <v>0</v>
      </c>
      <c r="N12">
        <f t="shared" si="1"/>
        <v>27.777777777777779</v>
      </c>
      <c r="P12">
        <f t="shared" si="2"/>
        <v>0.12999999999999545</v>
      </c>
    </row>
    <row r="13" spans="1:16" x14ac:dyDescent="0.35">
      <c r="A13">
        <f t="shared" si="3"/>
        <v>12</v>
      </c>
      <c r="B13">
        <v>32.700000000000003</v>
      </c>
      <c r="C13">
        <v>0</v>
      </c>
      <c r="G13">
        <v>1</v>
      </c>
      <c r="H13">
        <v>1</v>
      </c>
      <c r="I13">
        <f t="shared" si="4"/>
        <v>110</v>
      </c>
      <c r="J13">
        <v>11</v>
      </c>
      <c r="K13">
        <f t="shared" si="5"/>
        <v>12</v>
      </c>
      <c r="L13">
        <v>10000</v>
      </c>
      <c r="M13">
        <v>0</v>
      </c>
      <c r="N13">
        <f t="shared" si="1"/>
        <v>27.777777777777779</v>
      </c>
      <c r="P13">
        <f t="shared" si="2"/>
        <v>1.0000000000005116E-2</v>
      </c>
    </row>
    <row r="14" spans="1:16" x14ac:dyDescent="0.35">
      <c r="A14">
        <f t="shared" si="3"/>
        <v>13</v>
      </c>
      <c r="B14">
        <v>32.72</v>
      </c>
      <c r="C14">
        <v>0</v>
      </c>
      <c r="F14">
        <v>1</v>
      </c>
      <c r="I14">
        <f t="shared" si="4"/>
        <v>111</v>
      </c>
      <c r="J14">
        <v>12</v>
      </c>
      <c r="K14">
        <f t="shared" si="5"/>
        <v>13</v>
      </c>
      <c r="L14">
        <v>10000</v>
      </c>
      <c r="M14">
        <v>0</v>
      </c>
      <c r="N14">
        <f t="shared" si="1"/>
        <v>27.777777777777779</v>
      </c>
      <c r="P14">
        <f>B14-B12</f>
        <v>3.0000000000001137E-2</v>
      </c>
    </row>
    <row r="15" spans="1:16" x14ac:dyDescent="0.35">
      <c r="A15">
        <f t="shared" si="3"/>
        <v>14</v>
      </c>
      <c r="B15">
        <v>32.799999999999997</v>
      </c>
      <c r="C15">
        <v>0</v>
      </c>
      <c r="I15">
        <f t="shared" si="4"/>
        <v>112</v>
      </c>
      <c r="J15">
        <v>13</v>
      </c>
      <c r="K15">
        <f t="shared" si="5"/>
        <v>14</v>
      </c>
      <c r="L15">
        <v>10000</v>
      </c>
      <c r="M15">
        <v>0</v>
      </c>
      <c r="N15">
        <f t="shared" si="1"/>
        <v>27.777777777777779</v>
      </c>
      <c r="P15">
        <f t="shared" ref="P15:P46" si="6">B15-B14</f>
        <v>7.9999999999998295E-2</v>
      </c>
    </row>
    <row r="16" spans="1:16" x14ac:dyDescent="0.35">
      <c r="A16">
        <f t="shared" si="3"/>
        <v>15</v>
      </c>
      <c r="B16">
        <v>32.905000000000001</v>
      </c>
      <c r="C16">
        <v>0</v>
      </c>
      <c r="G16">
        <v>1</v>
      </c>
      <c r="H16">
        <v>-1</v>
      </c>
      <c r="I16">
        <f t="shared" si="4"/>
        <v>113</v>
      </c>
      <c r="J16">
        <v>14</v>
      </c>
      <c r="K16">
        <f t="shared" si="5"/>
        <v>15</v>
      </c>
      <c r="L16">
        <v>10000</v>
      </c>
      <c r="M16">
        <v>0</v>
      </c>
      <c r="N16">
        <f t="shared" si="1"/>
        <v>27.777777777777779</v>
      </c>
      <c r="P16">
        <f t="shared" si="6"/>
        <v>0.10500000000000398</v>
      </c>
    </row>
    <row r="17" spans="1:16" x14ac:dyDescent="0.35">
      <c r="A17">
        <f t="shared" si="3"/>
        <v>16</v>
      </c>
      <c r="B17">
        <v>32.981999999999999</v>
      </c>
      <c r="C17">
        <v>0</v>
      </c>
      <c r="I17">
        <f t="shared" si="4"/>
        <v>114</v>
      </c>
      <c r="J17">
        <v>15</v>
      </c>
      <c r="K17">
        <f t="shared" si="5"/>
        <v>16</v>
      </c>
      <c r="L17">
        <v>10000</v>
      </c>
      <c r="M17">
        <v>0</v>
      </c>
      <c r="N17">
        <f t="shared" si="1"/>
        <v>27.777777777777779</v>
      </c>
      <c r="P17">
        <f t="shared" si="6"/>
        <v>7.6999999999998181E-2</v>
      </c>
    </row>
    <row r="18" spans="1:16" x14ac:dyDescent="0.35">
      <c r="A18">
        <f t="shared" si="3"/>
        <v>17</v>
      </c>
      <c r="B18">
        <v>33.143000000000001</v>
      </c>
      <c r="C18">
        <v>0</v>
      </c>
      <c r="D18" t="s">
        <v>29</v>
      </c>
      <c r="I18">
        <f t="shared" si="4"/>
        <v>115</v>
      </c>
      <c r="J18">
        <v>16</v>
      </c>
      <c r="K18">
        <f t="shared" si="5"/>
        <v>17</v>
      </c>
      <c r="L18">
        <v>10000</v>
      </c>
      <c r="M18">
        <v>0</v>
      </c>
      <c r="N18">
        <f>100/3.6</f>
        <v>27.777777777777779</v>
      </c>
      <c r="P18">
        <f t="shared" si="6"/>
        <v>0.16100000000000136</v>
      </c>
    </row>
    <row r="19" spans="1:16" x14ac:dyDescent="0.35">
      <c r="A19">
        <f t="shared" si="3"/>
        <v>18</v>
      </c>
      <c r="B19">
        <v>33.243000000000002</v>
      </c>
      <c r="C19">
        <v>0</v>
      </c>
      <c r="G19">
        <v>1</v>
      </c>
      <c r="H19">
        <v>1</v>
      </c>
      <c r="I19">
        <f t="shared" si="4"/>
        <v>116</v>
      </c>
      <c r="J19">
        <v>17</v>
      </c>
      <c r="K19">
        <f t="shared" si="5"/>
        <v>18</v>
      </c>
      <c r="L19">
        <v>10000</v>
      </c>
      <c r="M19">
        <v>0</v>
      </c>
      <c r="N19">
        <f t="shared" ref="N19:N68" si="7">140/3.6</f>
        <v>38.888888888888886</v>
      </c>
      <c r="P19">
        <f t="shared" si="6"/>
        <v>0.10000000000000142</v>
      </c>
    </row>
    <row r="20" spans="1:16" x14ac:dyDescent="0.35">
      <c r="A20">
        <f t="shared" si="3"/>
        <v>19</v>
      </c>
      <c r="B20">
        <v>33.322000000000003</v>
      </c>
      <c r="C20">
        <v>0</v>
      </c>
      <c r="I20">
        <f t="shared" si="4"/>
        <v>117</v>
      </c>
      <c r="J20">
        <v>18</v>
      </c>
      <c r="K20">
        <f t="shared" si="5"/>
        <v>19</v>
      </c>
      <c r="L20">
        <v>10000</v>
      </c>
      <c r="M20">
        <v>0</v>
      </c>
      <c r="N20">
        <f t="shared" si="7"/>
        <v>38.888888888888886</v>
      </c>
      <c r="P20">
        <f t="shared" si="6"/>
        <v>7.9000000000000625E-2</v>
      </c>
    </row>
    <row r="21" spans="1:16" x14ac:dyDescent="0.35">
      <c r="A21">
        <f t="shared" si="3"/>
        <v>20</v>
      </c>
      <c r="B21">
        <v>33.479999999999997</v>
      </c>
      <c r="C21">
        <v>0</v>
      </c>
      <c r="F21">
        <v>1</v>
      </c>
      <c r="I21">
        <f t="shared" si="4"/>
        <v>118</v>
      </c>
      <c r="J21">
        <v>19</v>
      </c>
      <c r="K21">
        <f t="shared" si="5"/>
        <v>20</v>
      </c>
      <c r="L21">
        <v>10000</v>
      </c>
      <c r="M21">
        <v>0</v>
      </c>
      <c r="N21">
        <f t="shared" si="7"/>
        <v>38.888888888888886</v>
      </c>
      <c r="P21">
        <f t="shared" si="6"/>
        <v>0.15799999999999415</v>
      </c>
    </row>
    <row r="22" spans="1:16" x14ac:dyDescent="0.35">
      <c r="A22">
        <f t="shared" si="3"/>
        <v>21</v>
      </c>
      <c r="B22">
        <v>33.56</v>
      </c>
      <c r="C22">
        <v>0</v>
      </c>
      <c r="F22">
        <v>1</v>
      </c>
      <c r="I22">
        <f t="shared" si="4"/>
        <v>119</v>
      </c>
      <c r="J22">
        <v>20</v>
      </c>
      <c r="K22">
        <f t="shared" si="5"/>
        <v>21</v>
      </c>
      <c r="L22">
        <v>10000</v>
      </c>
      <c r="M22">
        <v>0</v>
      </c>
      <c r="N22">
        <f t="shared" si="7"/>
        <v>38.888888888888886</v>
      </c>
      <c r="P22">
        <f t="shared" si="6"/>
        <v>8.00000000000054E-2</v>
      </c>
    </row>
    <row r="23" spans="1:16" x14ac:dyDescent="0.35">
      <c r="A23">
        <f t="shared" si="3"/>
        <v>22</v>
      </c>
      <c r="B23">
        <v>33.57</v>
      </c>
      <c r="C23">
        <v>0</v>
      </c>
      <c r="F23">
        <v>1</v>
      </c>
      <c r="I23">
        <f t="shared" si="4"/>
        <v>120</v>
      </c>
      <c r="J23">
        <v>21</v>
      </c>
      <c r="K23">
        <f t="shared" si="5"/>
        <v>22</v>
      </c>
      <c r="L23">
        <v>10000</v>
      </c>
      <c r="M23">
        <v>0</v>
      </c>
      <c r="N23">
        <f t="shared" si="7"/>
        <v>38.888888888888886</v>
      </c>
      <c r="P23">
        <f t="shared" si="6"/>
        <v>9.9999999999980105E-3</v>
      </c>
    </row>
    <row r="24" spans="1:16" x14ac:dyDescent="0.35">
      <c r="A24">
        <f t="shared" si="3"/>
        <v>23</v>
      </c>
      <c r="B24">
        <v>33.619999999999997</v>
      </c>
      <c r="C24">
        <v>0</v>
      </c>
      <c r="I24">
        <f t="shared" si="4"/>
        <v>121</v>
      </c>
      <c r="J24">
        <v>22</v>
      </c>
      <c r="K24">
        <f t="shared" si="5"/>
        <v>23</v>
      </c>
      <c r="L24">
        <v>10000</v>
      </c>
      <c r="M24">
        <v>0</v>
      </c>
      <c r="N24">
        <f t="shared" si="7"/>
        <v>38.888888888888886</v>
      </c>
      <c r="P24">
        <f t="shared" si="6"/>
        <v>4.9999999999997158E-2</v>
      </c>
    </row>
    <row r="25" spans="1:16" x14ac:dyDescent="0.35">
      <c r="A25">
        <f t="shared" si="3"/>
        <v>24</v>
      </c>
      <c r="B25">
        <v>33.65</v>
      </c>
      <c r="C25">
        <v>0</v>
      </c>
      <c r="I25">
        <f t="shared" si="4"/>
        <v>122</v>
      </c>
      <c r="J25">
        <v>23</v>
      </c>
      <c r="K25">
        <f t="shared" si="5"/>
        <v>24</v>
      </c>
      <c r="L25">
        <v>10000</v>
      </c>
      <c r="M25">
        <v>0</v>
      </c>
      <c r="N25">
        <f t="shared" si="7"/>
        <v>38.888888888888886</v>
      </c>
      <c r="P25">
        <f t="shared" si="6"/>
        <v>3.0000000000001137E-2</v>
      </c>
    </row>
    <row r="26" spans="1:16" x14ac:dyDescent="0.35">
      <c r="A26">
        <f t="shared" si="3"/>
        <v>25</v>
      </c>
      <c r="B26">
        <v>33.700000000000003</v>
      </c>
      <c r="C26">
        <v>0</v>
      </c>
      <c r="I26">
        <f t="shared" si="4"/>
        <v>123</v>
      </c>
      <c r="J26">
        <v>24</v>
      </c>
      <c r="K26">
        <f t="shared" si="5"/>
        <v>25</v>
      </c>
      <c r="L26">
        <v>10000</v>
      </c>
      <c r="M26">
        <v>0</v>
      </c>
      <c r="N26">
        <f t="shared" si="7"/>
        <v>38.888888888888886</v>
      </c>
      <c r="P26">
        <f t="shared" si="6"/>
        <v>5.0000000000004263E-2</v>
      </c>
    </row>
    <row r="27" spans="1:16" x14ac:dyDescent="0.35">
      <c r="A27">
        <f t="shared" si="3"/>
        <v>26</v>
      </c>
      <c r="B27">
        <v>33.72</v>
      </c>
      <c r="C27">
        <v>0</v>
      </c>
      <c r="I27">
        <f t="shared" si="4"/>
        <v>124</v>
      </c>
      <c r="J27">
        <v>25</v>
      </c>
      <c r="K27">
        <f t="shared" si="5"/>
        <v>26</v>
      </c>
      <c r="L27">
        <v>10000</v>
      </c>
      <c r="M27">
        <v>0</v>
      </c>
      <c r="N27">
        <f t="shared" si="7"/>
        <v>38.888888888888886</v>
      </c>
      <c r="P27">
        <f t="shared" si="6"/>
        <v>1.9999999999996021E-2</v>
      </c>
    </row>
    <row r="28" spans="1:16" x14ac:dyDescent="0.35">
      <c r="A28">
        <f t="shared" si="3"/>
        <v>27</v>
      </c>
      <c r="B28">
        <v>33.799999999999997</v>
      </c>
      <c r="C28">
        <v>0</v>
      </c>
      <c r="I28">
        <f t="shared" si="4"/>
        <v>125</v>
      </c>
      <c r="J28">
        <v>26</v>
      </c>
      <c r="K28">
        <f t="shared" si="5"/>
        <v>27</v>
      </c>
      <c r="L28">
        <v>10000</v>
      </c>
      <c r="M28">
        <v>0</v>
      </c>
      <c r="N28">
        <f t="shared" si="7"/>
        <v>38.888888888888886</v>
      </c>
      <c r="P28">
        <f t="shared" si="6"/>
        <v>7.9999999999998295E-2</v>
      </c>
    </row>
    <row r="29" spans="1:16" x14ac:dyDescent="0.35">
      <c r="A29">
        <f t="shared" si="3"/>
        <v>28</v>
      </c>
      <c r="B29">
        <v>34.212000000000003</v>
      </c>
      <c r="C29">
        <v>0</v>
      </c>
      <c r="G29">
        <v>1</v>
      </c>
      <c r="H29">
        <v>-1</v>
      </c>
      <c r="I29">
        <f t="shared" si="4"/>
        <v>126</v>
      </c>
      <c r="J29">
        <v>27</v>
      </c>
      <c r="K29">
        <f t="shared" si="5"/>
        <v>28</v>
      </c>
      <c r="L29">
        <v>10000</v>
      </c>
      <c r="M29">
        <v>0</v>
      </c>
      <c r="N29">
        <f t="shared" si="7"/>
        <v>38.888888888888886</v>
      </c>
      <c r="P29">
        <f t="shared" si="6"/>
        <v>0.41200000000000614</v>
      </c>
    </row>
    <row r="30" spans="1:16" x14ac:dyDescent="0.35">
      <c r="A30">
        <f t="shared" si="3"/>
        <v>29</v>
      </c>
      <c r="B30">
        <v>34.6</v>
      </c>
      <c r="C30">
        <v>0</v>
      </c>
      <c r="G30">
        <v>1</v>
      </c>
      <c r="H30">
        <v>1</v>
      </c>
      <c r="I30">
        <f t="shared" si="4"/>
        <v>127</v>
      </c>
      <c r="J30">
        <v>28</v>
      </c>
      <c r="K30">
        <f t="shared" si="5"/>
        <v>29</v>
      </c>
      <c r="L30">
        <v>10000</v>
      </c>
      <c r="M30">
        <v>0</v>
      </c>
      <c r="N30">
        <f t="shared" si="7"/>
        <v>38.888888888888886</v>
      </c>
      <c r="P30">
        <f t="shared" si="6"/>
        <v>0.38799999999999812</v>
      </c>
    </row>
    <row r="31" spans="1:16" x14ac:dyDescent="0.35">
      <c r="A31">
        <f t="shared" si="3"/>
        <v>30</v>
      </c>
      <c r="B31">
        <v>35.959000000000003</v>
      </c>
      <c r="C31">
        <v>0</v>
      </c>
      <c r="G31">
        <v>1</v>
      </c>
      <c r="H31">
        <v>1</v>
      </c>
      <c r="I31">
        <f t="shared" si="4"/>
        <v>128</v>
      </c>
      <c r="J31">
        <v>29</v>
      </c>
      <c r="K31">
        <f t="shared" si="5"/>
        <v>30</v>
      </c>
      <c r="L31">
        <v>10000</v>
      </c>
      <c r="M31">
        <v>0</v>
      </c>
      <c r="N31">
        <f t="shared" si="7"/>
        <v>38.888888888888886</v>
      </c>
      <c r="P31">
        <f t="shared" si="6"/>
        <v>1.3590000000000018</v>
      </c>
    </row>
    <row r="32" spans="1:16" x14ac:dyDescent="0.35">
      <c r="A32">
        <f t="shared" si="3"/>
        <v>31</v>
      </c>
      <c r="B32">
        <v>36.012</v>
      </c>
      <c r="C32">
        <v>0</v>
      </c>
      <c r="G32">
        <v>1</v>
      </c>
      <c r="H32">
        <v>-1</v>
      </c>
      <c r="I32">
        <f t="shared" si="4"/>
        <v>129</v>
      </c>
      <c r="J32">
        <v>30</v>
      </c>
      <c r="K32">
        <f t="shared" si="5"/>
        <v>31</v>
      </c>
      <c r="L32">
        <v>10000</v>
      </c>
      <c r="M32">
        <v>0</v>
      </c>
      <c r="N32">
        <f t="shared" si="7"/>
        <v>38.888888888888886</v>
      </c>
      <c r="P32">
        <f t="shared" si="6"/>
        <v>5.2999999999997272E-2</v>
      </c>
    </row>
    <row r="33" spans="1:16" x14ac:dyDescent="0.35">
      <c r="A33">
        <f t="shared" si="3"/>
        <v>32</v>
      </c>
      <c r="B33">
        <v>37.146000000000001</v>
      </c>
      <c r="C33">
        <v>0</v>
      </c>
      <c r="D33" t="s">
        <v>32</v>
      </c>
      <c r="I33">
        <f t="shared" si="4"/>
        <v>130</v>
      </c>
      <c r="J33">
        <v>31</v>
      </c>
      <c r="K33">
        <f t="shared" si="5"/>
        <v>32</v>
      </c>
      <c r="L33">
        <v>10000</v>
      </c>
      <c r="M33">
        <v>0</v>
      </c>
      <c r="N33">
        <f t="shared" si="7"/>
        <v>38.888888888888886</v>
      </c>
      <c r="P33">
        <f t="shared" si="6"/>
        <v>1.1340000000000003</v>
      </c>
    </row>
    <row r="34" spans="1:16" x14ac:dyDescent="0.35">
      <c r="A34">
        <f t="shared" si="3"/>
        <v>33</v>
      </c>
      <c r="B34">
        <v>37.594000000000001</v>
      </c>
      <c r="C34">
        <v>0</v>
      </c>
      <c r="G34">
        <v>1</v>
      </c>
      <c r="H34">
        <v>1</v>
      </c>
      <c r="I34">
        <f t="shared" si="4"/>
        <v>131</v>
      </c>
      <c r="J34">
        <v>32</v>
      </c>
      <c r="K34">
        <f t="shared" si="5"/>
        <v>33</v>
      </c>
      <c r="L34">
        <v>10000</v>
      </c>
      <c r="M34">
        <v>0</v>
      </c>
      <c r="N34">
        <f t="shared" si="7"/>
        <v>38.888888888888886</v>
      </c>
      <c r="P34">
        <f t="shared" si="6"/>
        <v>0.4480000000000004</v>
      </c>
    </row>
    <row r="35" spans="1:16" x14ac:dyDescent="0.35">
      <c r="A35">
        <f t="shared" si="3"/>
        <v>34</v>
      </c>
      <c r="B35">
        <v>37.646999999999998</v>
      </c>
      <c r="C35">
        <v>0</v>
      </c>
      <c r="G35">
        <v>1</v>
      </c>
      <c r="H35">
        <v>-1</v>
      </c>
      <c r="I35">
        <f t="shared" si="4"/>
        <v>132</v>
      </c>
      <c r="J35">
        <v>33</v>
      </c>
      <c r="K35">
        <f t="shared" si="5"/>
        <v>34</v>
      </c>
      <c r="L35">
        <v>10000</v>
      </c>
      <c r="M35">
        <v>0</v>
      </c>
      <c r="N35">
        <f t="shared" si="7"/>
        <v>38.888888888888886</v>
      </c>
      <c r="P35">
        <f t="shared" si="6"/>
        <v>5.2999999999997272E-2</v>
      </c>
    </row>
    <row r="36" spans="1:16" x14ac:dyDescent="0.35">
      <c r="A36">
        <f t="shared" si="3"/>
        <v>35</v>
      </c>
      <c r="B36">
        <v>39.338999999999999</v>
      </c>
      <c r="C36">
        <v>0</v>
      </c>
      <c r="G36">
        <v>1</v>
      </c>
      <c r="H36">
        <v>1</v>
      </c>
      <c r="I36">
        <f t="shared" si="4"/>
        <v>133</v>
      </c>
      <c r="J36">
        <v>34</v>
      </c>
      <c r="K36">
        <f t="shared" si="5"/>
        <v>35</v>
      </c>
      <c r="L36">
        <v>10000</v>
      </c>
      <c r="M36">
        <v>0</v>
      </c>
      <c r="N36">
        <f t="shared" si="7"/>
        <v>38.888888888888886</v>
      </c>
      <c r="P36">
        <f t="shared" si="6"/>
        <v>1.6920000000000002</v>
      </c>
    </row>
    <row r="37" spans="1:16" x14ac:dyDescent="0.35">
      <c r="A37">
        <f t="shared" si="3"/>
        <v>36</v>
      </c>
      <c r="B37">
        <v>39.392000000000003</v>
      </c>
      <c r="C37">
        <v>0</v>
      </c>
      <c r="G37">
        <v>1</v>
      </c>
      <c r="H37">
        <v>-1</v>
      </c>
      <c r="I37">
        <f t="shared" si="4"/>
        <v>134</v>
      </c>
      <c r="J37">
        <v>35</v>
      </c>
      <c r="K37">
        <f t="shared" si="5"/>
        <v>36</v>
      </c>
      <c r="L37">
        <v>10000</v>
      </c>
      <c r="M37">
        <v>0</v>
      </c>
      <c r="N37">
        <f t="shared" si="7"/>
        <v>38.888888888888886</v>
      </c>
      <c r="P37">
        <f t="shared" si="6"/>
        <v>5.3000000000004377E-2</v>
      </c>
    </row>
    <row r="38" spans="1:16" x14ac:dyDescent="0.35">
      <c r="A38">
        <f t="shared" si="3"/>
        <v>37</v>
      </c>
      <c r="B38">
        <v>41.168999999999997</v>
      </c>
      <c r="C38">
        <v>0</v>
      </c>
      <c r="G38">
        <v>1</v>
      </c>
      <c r="H38">
        <v>1</v>
      </c>
      <c r="I38">
        <f t="shared" si="4"/>
        <v>135</v>
      </c>
      <c r="J38">
        <v>36</v>
      </c>
      <c r="K38">
        <f t="shared" si="5"/>
        <v>37</v>
      </c>
      <c r="L38">
        <v>10000</v>
      </c>
      <c r="M38">
        <v>0</v>
      </c>
      <c r="N38">
        <f t="shared" si="7"/>
        <v>38.888888888888886</v>
      </c>
      <c r="P38">
        <f t="shared" si="6"/>
        <v>1.7769999999999939</v>
      </c>
    </row>
    <row r="39" spans="1:16" x14ac:dyDescent="0.35">
      <c r="A39">
        <f t="shared" si="3"/>
        <v>38</v>
      </c>
      <c r="B39">
        <v>41.222000000000001</v>
      </c>
      <c r="C39">
        <v>0</v>
      </c>
      <c r="G39">
        <v>1</v>
      </c>
      <c r="H39">
        <v>-1</v>
      </c>
      <c r="I39">
        <f t="shared" si="4"/>
        <v>136</v>
      </c>
      <c r="J39">
        <v>37</v>
      </c>
      <c r="K39">
        <f t="shared" si="5"/>
        <v>38</v>
      </c>
      <c r="L39">
        <v>10000</v>
      </c>
      <c r="M39">
        <v>0</v>
      </c>
      <c r="N39">
        <f t="shared" si="7"/>
        <v>38.888888888888886</v>
      </c>
      <c r="P39">
        <f t="shared" si="6"/>
        <v>5.3000000000004377E-2</v>
      </c>
    </row>
    <row r="40" spans="1:16" x14ac:dyDescent="0.35">
      <c r="A40">
        <f t="shared" si="3"/>
        <v>39</v>
      </c>
      <c r="B40">
        <v>42.116999999999997</v>
      </c>
      <c r="C40">
        <v>0</v>
      </c>
      <c r="D40" t="s">
        <v>33</v>
      </c>
      <c r="I40">
        <f t="shared" si="4"/>
        <v>137</v>
      </c>
      <c r="J40">
        <v>38</v>
      </c>
      <c r="K40">
        <f t="shared" si="5"/>
        <v>39</v>
      </c>
      <c r="L40">
        <v>10000</v>
      </c>
      <c r="M40">
        <v>0</v>
      </c>
      <c r="N40">
        <f t="shared" si="7"/>
        <v>38.888888888888886</v>
      </c>
      <c r="P40">
        <f t="shared" si="6"/>
        <v>0.89499999999999602</v>
      </c>
    </row>
    <row r="41" spans="1:16" x14ac:dyDescent="0.35">
      <c r="A41">
        <f t="shared" si="3"/>
        <v>40</v>
      </c>
      <c r="B41">
        <v>42.746000000000002</v>
      </c>
      <c r="C41">
        <v>0</v>
      </c>
      <c r="G41">
        <v>1</v>
      </c>
      <c r="H41">
        <v>-1</v>
      </c>
      <c r="I41">
        <f t="shared" si="4"/>
        <v>138</v>
      </c>
      <c r="J41">
        <v>39</v>
      </c>
      <c r="K41">
        <f t="shared" si="5"/>
        <v>40</v>
      </c>
      <c r="L41">
        <v>10000</v>
      </c>
      <c r="M41">
        <v>0</v>
      </c>
      <c r="N41">
        <f t="shared" si="7"/>
        <v>38.888888888888886</v>
      </c>
      <c r="P41">
        <f t="shared" si="6"/>
        <v>0.62900000000000489</v>
      </c>
    </row>
    <row r="42" spans="1:16" x14ac:dyDescent="0.35">
      <c r="A42">
        <f t="shared" si="3"/>
        <v>41</v>
      </c>
      <c r="B42">
        <v>43.024000000000001</v>
      </c>
      <c r="C42">
        <v>0</v>
      </c>
      <c r="G42">
        <v>1</v>
      </c>
      <c r="H42">
        <v>1</v>
      </c>
      <c r="I42">
        <f t="shared" si="4"/>
        <v>139</v>
      </c>
      <c r="J42">
        <v>40</v>
      </c>
      <c r="K42">
        <f t="shared" si="5"/>
        <v>41</v>
      </c>
      <c r="L42">
        <v>10000</v>
      </c>
      <c r="M42">
        <v>0</v>
      </c>
      <c r="N42">
        <f t="shared" si="7"/>
        <v>38.888888888888886</v>
      </c>
      <c r="P42">
        <f t="shared" si="6"/>
        <v>0.27799999999999869</v>
      </c>
    </row>
    <row r="43" spans="1:16" x14ac:dyDescent="0.35">
      <c r="A43">
        <f t="shared" si="3"/>
        <v>42</v>
      </c>
      <c r="B43">
        <v>44.122</v>
      </c>
      <c r="C43">
        <v>0</v>
      </c>
      <c r="G43">
        <v>1</v>
      </c>
      <c r="H43">
        <v>-1</v>
      </c>
      <c r="I43">
        <f t="shared" si="4"/>
        <v>140</v>
      </c>
      <c r="J43">
        <v>41</v>
      </c>
      <c r="K43">
        <f t="shared" si="5"/>
        <v>42</v>
      </c>
      <c r="L43">
        <v>10000</v>
      </c>
      <c r="M43">
        <v>0</v>
      </c>
      <c r="N43">
        <f t="shared" si="7"/>
        <v>38.888888888888886</v>
      </c>
      <c r="P43">
        <f t="shared" si="6"/>
        <v>1.097999999999999</v>
      </c>
    </row>
    <row r="44" spans="1:16" x14ac:dyDescent="0.35">
      <c r="A44">
        <f t="shared" si="3"/>
        <v>43</v>
      </c>
      <c r="B44">
        <v>44.497</v>
      </c>
      <c r="C44">
        <v>0</v>
      </c>
      <c r="G44">
        <v>1</v>
      </c>
      <c r="H44">
        <v>1</v>
      </c>
      <c r="I44">
        <f t="shared" si="4"/>
        <v>141</v>
      </c>
      <c r="J44">
        <v>42</v>
      </c>
      <c r="K44">
        <f t="shared" si="5"/>
        <v>43</v>
      </c>
      <c r="L44">
        <v>10000</v>
      </c>
      <c r="M44">
        <v>0</v>
      </c>
      <c r="N44">
        <f t="shared" si="7"/>
        <v>38.888888888888886</v>
      </c>
      <c r="P44">
        <f t="shared" si="6"/>
        <v>0.375</v>
      </c>
    </row>
    <row r="45" spans="1:16" x14ac:dyDescent="0.35">
      <c r="A45">
        <f t="shared" si="3"/>
        <v>44</v>
      </c>
      <c r="B45">
        <v>44.831000000000003</v>
      </c>
      <c r="C45">
        <v>0</v>
      </c>
      <c r="F45">
        <v>1</v>
      </c>
      <c r="I45">
        <f t="shared" si="4"/>
        <v>142</v>
      </c>
      <c r="J45">
        <v>43</v>
      </c>
      <c r="K45">
        <f t="shared" si="5"/>
        <v>44</v>
      </c>
      <c r="L45">
        <v>10000</v>
      </c>
      <c r="M45">
        <v>0</v>
      </c>
      <c r="N45">
        <f t="shared" si="7"/>
        <v>38.888888888888886</v>
      </c>
      <c r="P45">
        <f t="shared" si="6"/>
        <v>0.33400000000000318</v>
      </c>
    </row>
    <row r="46" spans="1:16" x14ac:dyDescent="0.35">
      <c r="A46">
        <f t="shared" si="3"/>
        <v>45</v>
      </c>
      <c r="B46">
        <v>44.91</v>
      </c>
      <c r="C46">
        <v>0</v>
      </c>
      <c r="I46">
        <f t="shared" si="4"/>
        <v>143</v>
      </c>
      <c r="J46">
        <v>44</v>
      </c>
      <c r="K46">
        <f t="shared" si="5"/>
        <v>45</v>
      </c>
      <c r="L46">
        <v>10000</v>
      </c>
      <c r="M46">
        <v>0</v>
      </c>
      <c r="N46">
        <f t="shared" si="7"/>
        <v>38.888888888888886</v>
      </c>
      <c r="P46">
        <f t="shared" si="6"/>
        <v>7.899999999999352E-2</v>
      </c>
    </row>
    <row r="47" spans="1:16" x14ac:dyDescent="0.35">
      <c r="A47">
        <f t="shared" si="3"/>
        <v>46</v>
      </c>
      <c r="B47">
        <v>44.96</v>
      </c>
      <c r="C47">
        <v>0</v>
      </c>
      <c r="I47">
        <f t="shared" si="4"/>
        <v>144</v>
      </c>
      <c r="J47">
        <v>45</v>
      </c>
      <c r="K47">
        <f t="shared" si="5"/>
        <v>46</v>
      </c>
      <c r="L47">
        <v>10000</v>
      </c>
      <c r="M47">
        <v>0</v>
      </c>
      <c r="N47">
        <f t="shared" si="7"/>
        <v>38.888888888888886</v>
      </c>
      <c r="P47">
        <f t="shared" ref="P47:P78" si="8">B47-B46</f>
        <v>5.0000000000004263E-2</v>
      </c>
    </row>
    <row r="48" spans="1:16" x14ac:dyDescent="0.35">
      <c r="A48">
        <f t="shared" si="3"/>
        <v>47</v>
      </c>
      <c r="B48">
        <v>45.04</v>
      </c>
      <c r="C48">
        <v>0</v>
      </c>
      <c r="I48">
        <f t="shared" si="4"/>
        <v>145</v>
      </c>
      <c r="J48">
        <v>46</v>
      </c>
      <c r="K48">
        <f t="shared" si="5"/>
        <v>47</v>
      </c>
      <c r="L48">
        <v>10000</v>
      </c>
      <c r="M48">
        <v>0</v>
      </c>
      <c r="N48">
        <f t="shared" si="7"/>
        <v>38.888888888888886</v>
      </c>
      <c r="P48">
        <f t="shared" si="8"/>
        <v>7.9999999999998295E-2</v>
      </c>
    </row>
    <row r="49" spans="1:16" x14ac:dyDescent="0.35">
      <c r="A49">
        <f t="shared" si="3"/>
        <v>48</v>
      </c>
      <c r="B49">
        <v>45.27</v>
      </c>
      <c r="C49">
        <v>0</v>
      </c>
      <c r="F49">
        <v>1</v>
      </c>
      <c r="I49">
        <f t="shared" si="4"/>
        <v>146</v>
      </c>
      <c r="J49">
        <v>47</v>
      </c>
      <c r="K49">
        <f t="shared" si="5"/>
        <v>48</v>
      </c>
      <c r="L49">
        <v>10000</v>
      </c>
      <c r="M49">
        <v>0</v>
      </c>
      <c r="N49">
        <f t="shared" si="7"/>
        <v>38.888888888888886</v>
      </c>
      <c r="P49">
        <f t="shared" si="8"/>
        <v>0.23000000000000398</v>
      </c>
    </row>
    <row r="50" spans="1:16" x14ac:dyDescent="0.35">
      <c r="A50">
        <f t="shared" si="3"/>
        <v>49</v>
      </c>
      <c r="B50">
        <v>45.350999999999999</v>
      </c>
      <c r="C50">
        <v>0</v>
      </c>
      <c r="G50">
        <v>1</v>
      </c>
      <c r="H50">
        <v>-1</v>
      </c>
      <c r="I50">
        <f t="shared" si="4"/>
        <v>147</v>
      </c>
      <c r="J50">
        <v>48</v>
      </c>
      <c r="K50">
        <f t="shared" si="5"/>
        <v>49</v>
      </c>
      <c r="L50">
        <v>10000</v>
      </c>
      <c r="M50">
        <v>0</v>
      </c>
      <c r="N50">
        <f t="shared" si="7"/>
        <v>38.888888888888886</v>
      </c>
      <c r="P50">
        <f t="shared" si="8"/>
        <v>8.0999999999995964E-2</v>
      </c>
    </row>
    <row r="51" spans="1:16" x14ac:dyDescent="0.35">
      <c r="A51">
        <f t="shared" si="3"/>
        <v>50</v>
      </c>
      <c r="B51">
        <v>45.9</v>
      </c>
      <c r="C51">
        <v>0</v>
      </c>
      <c r="I51">
        <f t="shared" si="4"/>
        <v>148</v>
      </c>
      <c r="J51">
        <v>49</v>
      </c>
      <c r="K51">
        <f t="shared" si="5"/>
        <v>50</v>
      </c>
      <c r="L51">
        <v>10000</v>
      </c>
      <c r="M51">
        <v>0</v>
      </c>
      <c r="N51">
        <f t="shared" si="7"/>
        <v>38.888888888888886</v>
      </c>
      <c r="P51">
        <f t="shared" si="8"/>
        <v>0.54899999999999949</v>
      </c>
    </row>
    <row r="52" spans="1:16" x14ac:dyDescent="0.35">
      <c r="A52">
        <f t="shared" si="3"/>
        <v>51</v>
      </c>
      <c r="B52">
        <v>45.942999999999998</v>
      </c>
      <c r="C52">
        <v>0</v>
      </c>
      <c r="I52">
        <f t="shared" si="4"/>
        <v>149</v>
      </c>
      <c r="J52">
        <v>50</v>
      </c>
      <c r="K52">
        <f t="shared" si="5"/>
        <v>51</v>
      </c>
      <c r="L52">
        <v>10000</v>
      </c>
      <c r="M52">
        <v>0</v>
      </c>
      <c r="N52">
        <f t="shared" si="7"/>
        <v>38.888888888888886</v>
      </c>
      <c r="P52">
        <f t="shared" si="8"/>
        <v>4.2999999999999261E-2</v>
      </c>
    </row>
    <row r="53" spans="1:16" x14ac:dyDescent="0.35">
      <c r="A53">
        <f t="shared" si="3"/>
        <v>52</v>
      </c>
      <c r="B53">
        <v>46.052</v>
      </c>
      <c r="C53">
        <v>0</v>
      </c>
      <c r="D53" t="s">
        <v>34</v>
      </c>
      <c r="I53">
        <f t="shared" si="4"/>
        <v>150</v>
      </c>
      <c r="J53">
        <v>51</v>
      </c>
      <c r="K53">
        <f t="shared" si="5"/>
        <v>52</v>
      </c>
      <c r="L53">
        <v>10000</v>
      </c>
      <c r="M53">
        <v>0</v>
      </c>
      <c r="N53">
        <f t="shared" si="7"/>
        <v>38.888888888888886</v>
      </c>
      <c r="P53">
        <f t="shared" si="8"/>
        <v>0.10900000000000176</v>
      </c>
    </row>
    <row r="54" spans="1:16" x14ac:dyDescent="0.35">
      <c r="A54">
        <f t="shared" si="3"/>
        <v>53</v>
      </c>
      <c r="B54">
        <v>46.097000000000001</v>
      </c>
      <c r="C54">
        <v>0</v>
      </c>
      <c r="G54">
        <v>1</v>
      </c>
      <c r="H54">
        <v>1</v>
      </c>
      <c r="I54">
        <f t="shared" si="4"/>
        <v>151</v>
      </c>
      <c r="J54">
        <v>52</v>
      </c>
      <c r="K54">
        <f t="shared" si="5"/>
        <v>53</v>
      </c>
      <c r="L54">
        <v>10000</v>
      </c>
      <c r="M54">
        <v>0</v>
      </c>
      <c r="N54">
        <f t="shared" si="7"/>
        <v>38.888888888888886</v>
      </c>
      <c r="P54">
        <f t="shared" si="8"/>
        <v>4.5000000000001705E-2</v>
      </c>
    </row>
    <row r="55" spans="1:16" x14ac:dyDescent="0.35">
      <c r="A55">
        <f t="shared" si="3"/>
        <v>54</v>
      </c>
      <c r="B55">
        <v>46.218000000000004</v>
      </c>
      <c r="C55">
        <v>0</v>
      </c>
      <c r="F55">
        <v>1</v>
      </c>
      <c r="I55">
        <f t="shared" si="4"/>
        <v>152</v>
      </c>
      <c r="J55">
        <v>53</v>
      </c>
      <c r="K55">
        <f t="shared" si="5"/>
        <v>54</v>
      </c>
      <c r="L55">
        <v>10000</v>
      </c>
      <c r="M55">
        <v>0</v>
      </c>
      <c r="N55">
        <f t="shared" si="7"/>
        <v>38.888888888888886</v>
      </c>
      <c r="P55">
        <f t="shared" si="8"/>
        <v>0.12100000000000222</v>
      </c>
    </row>
    <row r="56" spans="1:16" x14ac:dyDescent="0.35">
      <c r="A56">
        <f t="shared" si="3"/>
        <v>55</v>
      </c>
      <c r="B56">
        <v>46.28</v>
      </c>
      <c r="C56">
        <v>0</v>
      </c>
      <c r="I56">
        <f t="shared" si="4"/>
        <v>153</v>
      </c>
      <c r="J56">
        <v>54</v>
      </c>
      <c r="K56">
        <f t="shared" si="5"/>
        <v>55</v>
      </c>
      <c r="L56">
        <v>10000</v>
      </c>
      <c r="M56">
        <v>0</v>
      </c>
      <c r="N56">
        <f t="shared" si="7"/>
        <v>38.888888888888886</v>
      </c>
      <c r="P56">
        <f t="shared" si="8"/>
        <v>6.1999999999997613E-2</v>
      </c>
    </row>
    <row r="57" spans="1:16" x14ac:dyDescent="0.35">
      <c r="A57">
        <f t="shared" si="3"/>
        <v>56</v>
      </c>
      <c r="B57">
        <v>46.36</v>
      </c>
      <c r="C57">
        <v>0</v>
      </c>
      <c r="I57">
        <f t="shared" si="4"/>
        <v>154</v>
      </c>
      <c r="J57">
        <v>55</v>
      </c>
      <c r="K57">
        <f t="shared" si="5"/>
        <v>56</v>
      </c>
      <c r="L57">
        <v>10000</v>
      </c>
      <c r="M57">
        <v>0</v>
      </c>
      <c r="N57">
        <f t="shared" si="7"/>
        <v>38.888888888888886</v>
      </c>
      <c r="P57">
        <f t="shared" si="8"/>
        <v>7.9999999999998295E-2</v>
      </c>
    </row>
    <row r="58" spans="1:16" x14ac:dyDescent="0.35">
      <c r="A58">
        <f t="shared" si="3"/>
        <v>57</v>
      </c>
      <c r="B58">
        <v>46.444000000000003</v>
      </c>
      <c r="C58">
        <v>0</v>
      </c>
      <c r="I58">
        <f t="shared" si="4"/>
        <v>155</v>
      </c>
      <c r="J58">
        <v>56</v>
      </c>
      <c r="K58">
        <f t="shared" si="5"/>
        <v>57</v>
      </c>
      <c r="L58">
        <v>10000</v>
      </c>
      <c r="M58">
        <v>0</v>
      </c>
      <c r="N58">
        <f t="shared" si="7"/>
        <v>38.888888888888886</v>
      </c>
      <c r="P58">
        <f t="shared" si="8"/>
        <v>8.4000000000003183E-2</v>
      </c>
    </row>
    <row r="59" spans="1:16" x14ac:dyDescent="0.35">
      <c r="A59">
        <f t="shared" si="3"/>
        <v>58</v>
      </c>
      <c r="B59">
        <v>46.847000000000001</v>
      </c>
      <c r="C59">
        <v>0</v>
      </c>
      <c r="G59">
        <v>1</v>
      </c>
      <c r="H59">
        <v>-1</v>
      </c>
      <c r="I59">
        <f t="shared" si="4"/>
        <v>156</v>
      </c>
      <c r="J59">
        <v>57</v>
      </c>
      <c r="K59">
        <f t="shared" si="5"/>
        <v>58</v>
      </c>
      <c r="L59">
        <v>10000</v>
      </c>
      <c r="M59">
        <v>0</v>
      </c>
      <c r="N59">
        <f t="shared" si="7"/>
        <v>38.888888888888886</v>
      </c>
      <c r="P59">
        <f t="shared" si="8"/>
        <v>0.40299999999999869</v>
      </c>
    </row>
    <row r="60" spans="1:16" x14ac:dyDescent="0.35">
      <c r="A60">
        <f t="shared" si="3"/>
        <v>59</v>
      </c>
      <c r="B60">
        <v>47.494999999999997</v>
      </c>
      <c r="C60">
        <v>0</v>
      </c>
      <c r="G60">
        <v>1</v>
      </c>
      <c r="H60">
        <v>1</v>
      </c>
      <c r="I60">
        <f t="shared" si="4"/>
        <v>157</v>
      </c>
      <c r="J60">
        <v>58</v>
      </c>
      <c r="K60">
        <f t="shared" si="5"/>
        <v>59</v>
      </c>
      <c r="L60">
        <v>10000</v>
      </c>
      <c r="M60">
        <v>0</v>
      </c>
      <c r="N60">
        <f t="shared" si="7"/>
        <v>38.888888888888886</v>
      </c>
      <c r="P60">
        <f t="shared" si="8"/>
        <v>0.64799999999999613</v>
      </c>
    </row>
    <row r="61" spans="1:16" x14ac:dyDescent="0.35">
      <c r="A61">
        <f t="shared" si="3"/>
        <v>60</v>
      </c>
      <c r="B61">
        <v>48.4</v>
      </c>
      <c r="C61">
        <v>0</v>
      </c>
      <c r="G61">
        <v>1</v>
      </c>
      <c r="H61">
        <v>-1</v>
      </c>
      <c r="I61">
        <f t="shared" si="4"/>
        <v>158</v>
      </c>
      <c r="J61">
        <v>59</v>
      </c>
      <c r="K61">
        <f t="shared" si="5"/>
        <v>60</v>
      </c>
      <c r="L61">
        <v>10000</v>
      </c>
      <c r="M61">
        <v>0</v>
      </c>
      <c r="N61">
        <f t="shared" si="7"/>
        <v>38.888888888888886</v>
      </c>
      <c r="P61">
        <f t="shared" si="8"/>
        <v>0.90500000000000114</v>
      </c>
    </row>
    <row r="62" spans="1:16" x14ac:dyDescent="0.35">
      <c r="A62">
        <f t="shared" si="3"/>
        <v>61</v>
      </c>
      <c r="B62">
        <v>49.08</v>
      </c>
      <c r="C62">
        <v>0</v>
      </c>
      <c r="G62">
        <v>1</v>
      </c>
      <c r="H62">
        <v>1</v>
      </c>
      <c r="I62">
        <f t="shared" si="4"/>
        <v>159</v>
      </c>
      <c r="J62">
        <v>60</v>
      </c>
      <c r="K62">
        <f t="shared" si="5"/>
        <v>61</v>
      </c>
      <c r="L62">
        <v>10000</v>
      </c>
      <c r="M62">
        <v>0</v>
      </c>
      <c r="N62">
        <f t="shared" si="7"/>
        <v>38.888888888888886</v>
      </c>
      <c r="P62">
        <f t="shared" si="8"/>
        <v>0.67999999999999972</v>
      </c>
    </row>
    <row r="63" spans="1:16" x14ac:dyDescent="0.35">
      <c r="A63">
        <f t="shared" si="3"/>
        <v>62</v>
      </c>
      <c r="B63">
        <v>50</v>
      </c>
      <c r="C63">
        <v>0</v>
      </c>
      <c r="I63">
        <f t="shared" si="4"/>
        <v>160</v>
      </c>
      <c r="J63">
        <v>61</v>
      </c>
      <c r="K63">
        <f t="shared" si="5"/>
        <v>62</v>
      </c>
      <c r="L63">
        <v>10000</v>
      </c>
      <c r="M63">
        <v>0</v>
      </c>
      <c r="N63">
        <f t="shared" si="7"/>
        <v>38.888888888888886</v>
      </c>
      <c r="P63">
        <f t="shared" si="8"/>
        <v>0.92000000000000171</v>
      </c>
    </row>
    <row r="64" spans="1:16" x14ac:dyDescent="0.35">
      <c r="A64">
        <f t="shared" si="3"/>
        <v>63</v>
      </c>
      <c r="B64">
        <v>50.656999999999996</v>
      </c>
      <c r="C64">
        <v>0</v>
      </c>
      <c r="G64">
        <v>1</v>
      </c>
      <c r="H64">
        <v>1</v>
      </c>
      <c r="I64">
        <f t="shared" si="4"/>
        <v>161</v>
      </c>
      <c r="J64">
        <v>62</v>
      </c>
      <c r="K64">
        <f t="shared" si="5"/>
        <v>63</v>
      </c>
      <c r="L64">
        <v>10000</v>
      </c>
      <c r="M64">
        <v>0</v>
      </c>
      <c r="N64">
        <f t="shared" si="7"/>
        <v>38.888888888888886</v>
      </c>
      <c r="P64">
        <f t="shared" si="8"/>
        <v>0.65699999999999648</v>
      </c>
    </row>
    <row r="65" spans="1:16" x14ac:dyDescent="0.35">
      <c r="A65">
        <f t="shared" si="3"/>
        <v>64</v>
      </c>
      <c r="B65">
        <v>51.427999999999997</v>
      </c>
      <c r="C65">
        <v>0</v>
      </c>
      <c r="I65">
        <f t="shared" si="4"/>
        <v>162</v>
      </c>
      <c r="J65">
        <v>63</v>
      </c>
      <c r="K65">
        <f t="shared" si="5"/>
        <v>64</v>
      </c>
      <c r="L65">
        <v>10000</v>
      </c>
      <c r="M65">
        <v>0</v>
      </c>
      <c r="N65">
        <f t="shared" si="7"/>
        <v>38.888888888888886</v>
      </c>
      <c r="P65">
        <f t="shared" si="8"/>
        <v>0.7710000000000008</v>
      </c>
    </row>
    <row r="66" spans="1:16" x14ac:dyDescent="0.35">
      <c r="A66">
        <f t="shared" si="3"/>
        <v>65</v>
      </c>
      <c r="B66">
        <v>52.033000000000001</v>
      </c>
      <c r="C66">
        <v>0</v>
      </c>
      <c r="G66">
        <v>1</v>
      </c>
      <c r="H66">
        <v>1</v>
      </c>
      <c r="I66">
        <f t="shared" si="4"/>
        <v>163</v>
      </c>
      <c r="J66">
        <v>64</v>
      </c>
      <c r="K66">
        <f t="shared" si="5"/>
        <v>65</v>
      </c>
      <c r="L66">
        <v>10000</v>
      </c>
      <c r="M66">
        <v>0</v>
      </c>
      <c r="N66">
        <f t="shared" si="7"/>
        <v>38.888888888888886</v>
      </c>
      <c r="P66">
        <f t="shared" si="8"/>
        <v>0.60500000000000398</v>
      </c>
    </row>
    <row r="67" spans="1:16" x14ac:dyDescent="0.35">
      <c r="A67">
        <f t="shared" si="3"/>
        <v>66</v>
      </c>
      <c r="B67">
        <v>52.787999999999997</v>
      </c>
      <c r="C67">
        <v>0</v>
      </c>
      <c r="I67">
        <f t="shared" si="4"/>
        <v>164</v>
      </c>
      <c r="J67">
        <v>65</v>
      </c>
      <c r="K67">
        <f t="shared" si="5"/>
        <v>66</v>
      </c>
      <c r="L67">
        <v>10000</v>
      </c>
      <c r="M67">
        <v>0</v>
      </c>
      <c r="N67">
        <f t="shared" si="7"/>
        <v>38.888888888888886</v>
      </c>
      <c r="P67">
        <f t="shared" si="8"/>
        <v>0.75499999999999545</v>
      </c>
    </row>
    <row r="68" spans="1:16" x14ac:dyDescent="0.35">
      <c r="A68">
        <f t="shared" ref="A68:A131" si="9">A67+1</f>
        <v>67</v>
      </c>
      <c r="B68">
        <v>53.018000000000001</v>
      </c>
      <c r="C68">
        <v>0</v>
      </c>
      <c r="D68" t="s">
        <v>35</v>
      </c>
      <c r="I68">
        <f t="shared" si="4"/>
        <v>165</v>
      </c>
      <c r="J68">
        <v>66</v>
      </c>
      <c r="K68">
        <f t="shared" si="5"/>
        <v>67</v>
      </c>
      <c r="L68">
        <v>10000</v>
      </c>
      <c r="M68">
        <v>0</v>
      </c>
      <c r="N68">
        <f t="shared" si="7"/>
        <v>38.888888888888886</v>
      </c>
      <c r="P68">
        <f t="shared" si="8"/>
        <v>0.23000000000000398</v>
      </c>
    </row>
    <row r="69" spans="1:16" x14ac:dyDescent="0.35">
      <c r="A69">
        <f t="shared" si="9"/>
        <v>68</v>
      </c>
      <c r="B69">
        <v>53.112000000000002</v>
      </c>
      <c r="C69">
        <v>0</v>
      </c>
      <c r="G69">
        <v>1</v>
      </c>
      <c r="H69">
        <v>1</v>
      </c>
      <c r="I69">
        <f t="shared" ref="I69:I131" si="10">I68+1</f>
        <v>166</v>
      </c>
      <c r="J69">
        <v>67</v>
      </c>
      <c r="K69">
        <f t="shared" ref="K69:K131" si="11">A69</f>
        <v>68</v>
      </c>
      <c r="L69">
        <v>10000</v>
      </c>
      <c r="M69">
        <v>0</v>
      </c>
      <c r="N69">
        <f t="shared" ref="N69:N84" si="12">140/3.6</f>
        <v>38.888888888888886</v>
      </c>
      <c r="P69">
        <f t="shared" si="8"/>
        <v>9.4000000000001194E-2</v>
      </c>
    </row>
    <row r="70" spans="1:16" x14ac:dyDescent="0.35">
      <c r="A70">
        <f t="shared" si="9"/>
        <v>69</v>
      </c>
      <c r="B70">
        <v>53.744999999999997</v>
      </c>
      <c r="C70">
        <v>0</v>
      </c>
      <c r="I70">
        <f t="shared" si="10"/>
        <v>167</v>
      </c>
      <c r="J70">
        <v>68</v>
      </c>
      <c r="K70">
        <f t="shared" si="11"/>
        <v>69</v>
      </c>
      <c r="L70">
        <v>10000</v>
      </c>
      <c r="M70">
        <v>0</v>
      </c>
      <c r="N70">
        <f t="shared" si="12"/>
        <v>38.888888888888886</v>
      </c>
      <c r="P70">
        <f t="shared" si="8"/>
        <v>0.63299999999999557</v>
      </c>
    </row>
    <row r="71" spans="1:16" x14ac:dyDescent="0.35">
      <c r="A71">
        <f t="shared" si="9"/>
        <v>70</v>
      </c>
      <c r="B71">
        <v>54.484999999999999</v>
      </c>
      <c r="C71">
        <v>0</v>
      </c>
      <c r="G71">
        <v>1</v>
      </c>
      <c r="H71">
        <v>1</v>
      </c>
      <c r="I71">
        <f t="shared" si="10"/>
        <v>168</v>
      </c>
      <c r="J71">
        <v>69</v>
      </c>
      <c r="K71">
        <f t="shared" si="11"/>
        <v>70</v>
      </c>
      <c r="L71">
        <v>10000</v>
      </c>
      <c r="M71">
        <v>0</v>
      </c>
      <c r="N71">
        <f t="shared" si="12"/>
        <v>38.888888888888886</v>
      </c>
      <c r="P71">
        <f t="shared" si="8"/>
        <v>0.74000000000000199</v>
      </c>
    </row>
    <row r="72" spans="1:16" x14ac:dyDescent="0.35">
      <c r="A72">
        <f t="shared" si="9"/>
        <v>71</v>
      </c>
      <c r="B72">
        <v>55.15</v>
      </c>
      <c r="C72">
        <v>0</v>
      </c>
      <c r="I72">
        <f t="shared" si="10"/>
        <v>169</v>
      </c>
      <c r="J72">
        <v>70</v>
      </c>
      <c r="K72">
        <f t="shared" si="11"/>
        <v>71</v>
      </c>
      <c r="L72">
        <v>10000</v>
      </c>
      <c r="M72">
        <v>0</v>
      </c>
      <c r="N72">
        <f t="shared" si="12"/>
        <v>38.888888888888886</v>
      </c>
      <c r="P72">
        <f t="shared" si="8"/>
        <v>0.66499999999999915</v>
      </c>
    </row>
    <row r="73" spans="1:16" x14ac:dyDescent="0.35">
      <c r="A73">
        <f t="shared" si="9"/>
        <v>72</v>
      </c>
      <c r="B73">
        <v>55.9</v>
      </c>
      <c r="C73">
        <v>0</v>
      </c>
      <c r="G73">
        <v>1</v>
      </c>
      <c r="H73">
        <v>1</v>
      </c>
      <c r="I73">
        <f t="shared" si="10"/>
        <v>170</v>
      </c>
      <c r="J73">
        <v>71</v>
      </c>
      <c r="K73">
        <f t="shared" si="11"/>
        <v>72</v>
      </c>
      <c r="L73">
        <v>10000</v>
      </c>
      <c r="M73">
        <v>0</v>
      </c>
      <c r="N73">
        <f t="shared" si="12"/>
        <v>38.888888888888886</v>
      </c>
      <c r="P73">
        <f t="shared" si="8"/>
        <v>0.75</v>
      </c>
    </row>
    <row r="74" spans="1:16" x14ac:dyDescent="0.35">
      <c r="A74">
        <f t="shared" si="9"/>
        <v>73</v>
      </c>
      <c r="B74">
        <v>56.6</v>
      </c>
      <c r="C74">
        <v>0</v>
      </c>
      <c r="I74">
        <f t="shared" si="10"/>
        <v>171</v>
      </c>
      <c r="J74">
        <v>72</v>
      </c>
      <c r="K74">
        <f t="shared" si="11"/>
        <v>73</v>
      </c>
      <c r="L74">
        <v>10000</v>
      </c>
      <c r="M74">
        <v>0</v>
      </c>
      <c r="N74">
        <f t="shared" si="12"/>
        <v>38.888888888888886</v>
      </c>
      <c r="P74">
        <f t="shared" si="8"/>
        <v>0.70000000000000284</v>
      </c>
    </row>
    <row r="75" spans="1:16" x14ac:dyDescent="0.35">
      <c r="A75">
        <f t="shared" si="9"/>
        <v>74</v>
      </c>
      <c r="B75">
        <v>57.25</v>
      </c>
      <c r="C75">
        <v>0</v>
      </c>
      <c r="G75">
        <v>1</v>
      </c>
      <c r="H75">
        <v>1</v>
      </c>
      <c r="I75">
        <f t="shared" si="10"/>
        <v>172</v>
      </c>
      <c r="J75">
        <v>73</v>
      </c>
      <c r="K75">
        <f t="shared" si="11"/>
        <v>74</v>
      </c>
      <c r="L75">
        <v>10000</v>
      </c>
      <c r="M75">
        <v>0</v>
      </c>
      <c r="N75">
        <f t="shared" si="12"/>
        <v>38.888888888888886</v>
      </c>
      <c r="P75">
        <f t="shared" si="8"/>
        <v>0.64999999999999858</v>
      </c>
    </row>
    <row r="76" spans="1:16" x14ac:dyDescent="0.35">
      <c r="A76">
        <f t="shared" si="9"/>
        <v>75</v>
      </c>
      <c r="B76">
        <v>58.101999999999997</v>
      </c>
      <c r="C76">
        <v>0</v>
      </c>
      <c r="I76">
        <f t="shared" si="10"/>
        <v>173</v>
      </c>
      <c r="J76">
        <v>74</v>
      </c>
      <c r="K76">
        <f t="shared" si="11"/>
        <v>75</v>
      </c>
      <c r="L76">
        <v>10000</v>
      </c>
      <c r="M76">
        <v>0</v>
      </c>
      <c r="N76">
        <f t="shared" si="12"/>
        <v>38.888888888888886</v>
      </c>
      <c r="P76">
        <f t="shared" si="8"/>
        <v>0.85199999999999676</v>
      </c>
    </row>
    <row r="77" spans="1:16" x14ac:dyDescent="0.35">
      <c r="A77">
        <f t="shared" si="9"/>
        <v>76</v>
      </c>
      <c r="B77">
        <v>58.789000000000001</v>
      </c>
      <c r="C77">
        <v>0</v>
      </c>
      <c r="G77">
        <v>1</v>
      </c>
      <c r="H77">
        <v>1</v>
      </c>
      <c r="I77">
        <f t="shared" si="10"/>
        <v>174</v>
      </c>
      <c r="J77">
        <v>75</v>
      </c>
      <c r="K77">
        <f t="shared" si="11"/>
        <v>76</v>
      </c>
      <c r="L77">
        <v>10000</v>
      </c>
      <c r="M77">
        <v>0</v>
      </c>
      <c r="N77">
        <f t="shared" si="12"/>
        <v>38.888888888888886</v>
      </c>
      <c r="P77">
        <f t="shared" si="8"/>
        <v>0.68700000000000472</v>
      </c>
    </row>
    <row r="78" spans="1:16" x14ac:dyDescent="0.35">
      <c r="A78">
        <f t="shared" si="9"/>
        <v>77</v>
      </c>
      <c r="B78">
        <v>59.427</v>
      </c>
      <c r="C78">
        <v>0</v>
      </c>
      <c r="I78">
        <f t="shared" si="10"/>
        <v>175</v>
      </c>
      <c r="J78">
        <v>76</v>
      </c>
      <c r="K78">
        <f t="shared" si="11"/>
        <v>77</v>
      </c>
      <c r="L78">
        <v>10000</v>
      </c>
      <c r="M78">
        <v>0</v>
      </c>
      <c r="N78">
        <f t="shared" si="12"/>
        <v>38.888888888888886</v>
      </c>
      <c r="P78">
        <f t="shared" si="8"/>
        <v>0.63799999999999812</v>
      </c>
    </row>
    <row r="79" spans="1:16" x14ac:dyDescent="0.35">
      <c r="A79">
        <f t="shared" si="9"/>
        <v>78</v>
      </c>
      <c r="B79">
        <v>59.777999999999999</v>
      </c>
      <c r="C79">
        <v>0</v>
      </c>
      <c r="D79" t="s">
        <v>36</v>
      </c>
      <c r="I79">
        <f t="shared" si="10"/>
        <v>176</v>
      </c>
      <c r="J79">
        <v>77</v>
      </c>
      <c r="K79">
        <f t="shared" si="11"/>
        <v>78</v>
      </c>
      <c r="L79">
        <v>10000</v>
      </c>
      <c r="M79">
        <v>0</v>
      </c>
      <c r="N79">
        <f t="shared" si="12"/>
        <v>38.888888888888886</v>
      </c>
      <c r="P79">
        <f t="shared" ref="P79:P110" si="13">B79-B78</f>
        <v>0.35099999999999909</v>
      </c>
    </row>
    <row r="80" spans="1:16" x14ac:dyDescent="0.35">
      <c r="A80">
        <f t="shared" si="9"/>
        <v>79</v>
      </c>
      <c r="B80">
        <v>59.845999999999997</v>
      </c>
      <c r="C80">
        <v>0</v>
      </c>
      <c r="G80">
        <v>1</v>
      </c>
      <c r="H80">
        <v>1</v>
      </c>
      <c r="I80">
        <f t="shared" si="10"/>
        <v>177</v>
      </c>
      <c r="J80">
        <v>78</v>
      </c>
      <c r="K80">
        <f t="shared" si="11"/>
        <v>79</v>
      </c>
      <c r="L80">
        <v>10000</v>
      </c>
      <c r="M80">
        <v>0</v>
      </c>
      <c r="N80">
        <f t="shared" si="12"/>
        <v>38.888888888888886</v>
      </c>
      <c r="P80">
        <f t="shared" si="13"/>
        <v>6.799999999999784E-2</v>
      </c>
    </row>
    <row r="81" spans="1:16" x14ac:dyDescent="0.35">
      <c r="A81">
        <f t="shared" si="9"/>
        <v>80</v>
      </c>
      <c r="B81">
        <v>60.854999999999997</v>
      </c>
      <c r="C81">
        <v>0</v>
      </c>
      <c r="I81">
        <f t="shared" si="10"/>
        <v>178</v>
      </c>
      <c r="J81">
        <v>79</v>
      </c>
      <c r="K81">
        <f t="shared" si="11"/>
        <v>80</v>
      </c>
      <c r="L81">
        <v>10000</v>
      </c>
      <c r="M81">
        <v>0</v>
      </c>
      <c r="N81">
        <f t="shared" si="12"/>
        <v>38.888888888888886</v>
      </c>
      <c r="P81">
        <f t="shared" si="13"/>
        <v>1.0090000000000003</v>
      </c>
    </row>
    <row r="82" spans="1:16" x14ac:dyDescent="0.35">
      <c r="A82">
        <f t="shared" si="9"/>
        <v>81</v>
      </c>
      <c r="B82">
        <v>61.518000000000001</v>
      </c>
      <c r="C82">
        <v>0</v>
      </c>
      <c r="G82">
        <v>1</v>
      </c>
      <c r="H82">
        <v>1</v>
      </c>
      <c r="I82">
        <f t="shared" si="10"/>
        <v>179</v>
      </c>
      <c r="J82">
        <v>80</v>
      </c>
      <c r="K82">
        <f t="shared" si="11"/>
        <v>81</v>
      </c>
      <c r="L82">
        <v>10000</v>
      </c>
      <c r="M82">
        <v>0</v>
      </c>
      <c r="N82">
        <f t="shared" si="12"/>
        <v>38.888888888888886</v>
      </c>
      <c r="P82">
        <f t="shared" si="13"/>
        <v>0.66300000000000381</v>
      </c>
    </row>
    <row r="83" spans="1:16" x14ac:dyDescent="0.35">
      <c r="A83">
        <f t="shared" si="9"/>
        <v>82</v>
      </c>
      <c r="B83">
        <v>62.524999999999999</v>
      </c>
      <c r="C83">
        <v>0</v>
      </c>
      <c r="I83">
        <f t="shared" si="10"/>
        <v>180</v>
      </c>
      <c r="J83">
        <v>81</v>
      </c>
      <c r="K83">
        <f t="shared" si="11"/>
        <v>82</v>
      </c>
      <c r="L83">
        <v>10000</v>
      </c>
      <c r="M83">
        <v>0</v>
      </c>
      <c r="N83">
        <f t="shared" si="12"/>
        <v>38.888888888888886</v>
      </c>
      <c r="P83">
        <f t="shared" si="13"/>
        <v>1.0069999999999979</v>
      </c>
    </row>
    <row r="84" spans="1:16" x14ac:dyDescent="0.35">
      <c r="A84">
        <f t="shared" si="9"/>
        <v>83</v>
      </c>
      <c r="B84">
        <v>63</v>
      </c>
      <c r="C84">
        <v>0</v>
      </c>
      <c r="I84">
        <f t="shared" si="10"/>
        <v>181</v>
      </c>
      <c r="J84">
        <v>82</v>
      </c>
      <c r="K84">
        <f t="shared" si="11"/>
        <v>83</v>
      </c>
      <c r="L84">
        <v>10000</v>
      </c>
      <c r="M84">
        <v>0</v>
      </c>
      <c r="N84">
        <f t="shared" si="12"/>
        <v>38.888888888888886</v>
      </c>
      <c r="P84">
        <f t="shared" si="13"/>
        <v>0.47500000000000142</v>
      </c>
    </row>
    <row r="85" spans="1:16" x14ac:dyDescent="0.35">
      <c r="A85">
        <f t="shared" si="9"/>
        <v>84</v>
      </c>
      <c r="B85">
        <v>63.128</v>
      </c>
      <c r="C85">
        <v>0</v>
      </c>
      <c r="G85">
        <v>1</v>
      </c>
      <c r="H85">
        <v>1</v>
      </c>
      <c r="I85">
        <f t="shared" si="10"/>
        <v>182</v>
      </c>
      <c r="J85">
        <v>83</v>
      </c>
      <c r="K85">
        <f t="shared" si="11"/>
        <v>84</v>
      </c>
      <c r="L85">
        <v>10000</v>
      </c>
      <c r="M85">
        <v>0</v>
      </c>
      <c r="N85">
        <f>130/3.6</f>
        <v>36.111111111111107</v>
      </c>
      <c r="P85">
        <f t="shared" si="13"/>
        <v>0.12800000000000011</v>
      </c>
    </row>
    <row r="86" spans="1:16" x14ac:dyDescent="0.35">
      <c r="A86">
        <f t="shared" si="9"/>
        <v>85</v>
      </c>
      <c r="B86">
        <v>64.123999999999995</v>
      </c>
      <c r="C86">
        <v>0</v>
      </c>
      <c r="I86">
        <f t="shared" si="10"/>
        <v>183</v>
      </c>
      <c r="J86">
        <v>84</v>
      </c>
      <c r="K86">
        <f t="shared" si="11"/>
        <v>85</v>
      </c>
      <c r="L86">
        <v>10000</v>
      </c>
      <c r="M86">
        <v>0</v>
      </c>
      <c r="N86">
        <f t="shared" ref="N86:N90" si="14">130/3.6</f>
        <v>36.111111111111107</v>
      </c>
      <c r="P86">
        <f t="shared" si="13"/>
        <v>0.99599999999999511</v>
      </c>
    </row>
    <row r="87" spans="1:16" x14ac:dyDescent="0.35">
      <c r="A87">
        <f t="shared" si="9"/>
        <v>86</v>
      </c>
      <c r="B87">
        <v>64.762</v>
      </c>
      <c r="C87">
        <v>0</v>
      </c>
      <c r="G87">
        <v>1</v>
      </c>
      <c r="H87">
        <v>1</v>
      </c>
      <c r="I87">
        <f t="shared" si="10"/>
        <v>184</v>
      </c>
      <c r="J87">
        <v>85</v>
      </c>
      <c r="K87">
        <f t="shared" si="11"/>
        <v>86</v>
      </c>
      <c r="L87">
        <v>10000</v>
      </c>
      <c r="M87">
        <v>0</v>
      </c>
      <c r="N87">
        <f t="shared" si="14"/>
        <v>36.111111111111107</v>
      </c>
      <c r="P87">
        <f t="shared" si="13"/>
        <v>0.63800000000000523</v>
      </c>
    </row>
    <row r="88" spans="1:16" x14ac:dyDescent="0.35">
      <c r="A88">
        <f t="shared" si="9"/>
        <v>87</v>
      </c>
      <c r="B88">
        <v>65.316999999999993</v>
      </c>
      <c r="C88">
        <v>0</v>
      </c>
      <c r="I88">
        <f t="shared" si="10"/>
        <v>185</v>
      </c>
      <c r="J88">
        <v>86</v>
      </c>
      <c r="K88">
        <f t="shared" si="11"/>
        <v>87</v>
      </c>
      <c r="L88">
        <v>10000</v>
      </c>
      <c r="M88">
        <v>0</v>
      </c>
      <c r="N88">
        <f t="shared" si="14"/>
        <v>36.111111111111107</v>
      </c>
      <c r="P88">
        <f t="shared" si="13"/>
        <v>0.55499999999999261</v>
      </c>
    </row>
    <row r="89" spans="1:16" x14ac:dyDescent="0.35">
      <c r="A89">
        <f t="shared" si="9"/>
        <v>88</v>
      </c>
      <c r="B89">
        <v>65.394999999999996</v>
      </c>
      <c r="C89">
        <v>0</v>
      </c>
      <c r="I89">
        <f t="shared" si="10"/>
        <v>186</v>
      </c>
      <c r="J89">
        <v>87</v>
      </c>
      <c r="K89">
        <f t="shared" si="11"/>
        <v>88</v>
      </c>
      <c r="L89">
        <v>10000</v>
      </c>
      <c r="M89">
        <v>0</v>
      </c>
      <c r="N89">
        <f t="shared" si="14"/>
        <v>36.111111111111107</v>
      </c>
      <c r="P89">
        <f t="shared" si="13"/>
        <v>7.8000000000002956E-2</v>
      </c>
    </row>
    <row r="90" spans="1:16" x14ac:dyDescent="0.35">
      <c r="A90">
        <f t="shared" si="9"/>
        <v>89</v>
      </c>
      <c r="B90">
        <v>65.488</v>
      </c>
      <c r="C90">
        <v>0</v>
      </c>
      <c r="I90">
        <f t="shared" si="10"/>
        <v>187</v>
      </c>
      <c r="J90">
        <v>88</v>
      </c>
      <c r="K90">
        <f t="shared" si="11"/>
        <v>89</v>
      </c>
      <c r="L90">
        <v>10000</v>
      </c>
      <c r="M90">
        <v>0</v>
      </c>
      <c r="N90">
        <f t="shared" si="14"/>
        <v>36.111111111111107</v>
      </c>
      <c r="P90">
        <f t="shared" si="13"/>
        <v>9.3000000000003524E-2</v>
      </c>
    </row>
    <row r="91" spans="1:16" x14ac:dyDescent="0.35">
      <c r="A91">
        <f t="shared" si="9"/>
        <v>90</v>
      </c>
      <c r="B91">
        <v>65.545000000000002</v>
      </c>
      <c r="C91">
        <v>0</v>
      </c>
      <c r="I91">
        <f t="shared" si="10"/>
        <v>188</v>
      </c>
      <c r="J91">
        <v>89</v>
      </c>
      <c r="K91">
        <f t="shared" si="11"/>
        <v>90</v>
      </c>
      <c r="L91">
        <v>10000</v>
      </c>
      <c r="M91">
        <v>0</v>
      </c>
      <c r="N91">
        <f>140/3.6</f>
        <v>38.888888888888886</v>
      </c>
      <c r="P91">
        <f t="shared" si="13"/>
        <v>5.700000000000216E-2</v>
      </c>
    </row>
    <row r="92" spans="1:16" x14ac:dyDescent="0.35">
      <c r="A92">
        <f t="shared" si="9"/>
        <v>91</v>
      </c>
      <c r="B92">
        <v>65.614999999999995</v>
      </c>
      <c r="C92">
        <v>0</v>
      </c>
      <c r="F92">
        <v>1</v>
      </c>
      <c r="I92">
        <f t="shared" si="10"/>
        <v>189</v>
      </c>
      <c r="J92">
        <v>90</v>
      </c>
      <c r="K92">
        <f t="shared" si="11"/>
        <v>91</v>
      </c>
      <c r="L92">
        <v>10000</v>
      </c>
      <c r="M92">
        <v>0</v>
      </c>
      <c r="N92">
        <f t="shared" ref="N92:N131" si="15">140/3.6</f>
        <v>38.888888888888886</v>
      </c>
      <c r="P92">
        <f t="shared" si="13"/>
        <v>6.9999999999993179E-2</v>
      </c>
    </row>
    <row r="93" spans="1:16" x14ac:dyDescent="0.35">
      <c r="A93">
        <f t="shared" si="9"/>
        <v>92</v>
      </c>
      <c r="B93">
        <v>65.674999999999997</v>
      </c>
      <c r="C93">
        <v>0</v>
      </c>
      <c r="I93">
        <f t="shared" si="10"/>
        <v>190</v>
      </c>
      <c r="J93">
        <v>91</v>
      </c>
      <c r="K93">
        <f t="shared" si="11"/>
        <v>92</v>
      </c>
      <c r="L93">
        <v>10000</v>
      </c>
      <c r="M93">
        <v>0</v>
      </c>
      <c r="N93">
        <f t="shared" si="15"/>
        <v>38.888888888888886</v>
      </c>
      <c r="P93">
        <f t="shared" si="13"/>
        <v>6.0000000000002274E-2</v>
      </c>
    </row>
    <row r="94" spans="1:16" x14ac:dyDescent="0.35">
      <c r="A94">
        <f t="shared" si="9"/>
        <v>93</v>
      </c>
      <c r="B94">
        <v>65.724999999999994</v>
      </c>
      <c r="C94">
        <v>0</v>
      </c>
      <c r="G94">
        <v>1</v>
      </c>
      <c r="H94">
        <v>-1</v>
      </c>
      <c r="I94">
        <f t="shared" si="10"/>
        <v>191</v>
      </c>
      <c r="J94">
        <v>92</v>
      </c>
      <c r="K94">
        <f t="shared" si="11"/>
        <v>93</v>
      </c>
      <c r="L94">
        <v>10000</v>
      </c>
      <c r="M94">
        <v>0</v>
      </c>
      <c r="N94">
        <f t="shared" si="15"/>
        <v>38.888888888888886</v>
      </c>
      <c r="P94">
        <f t="shared" si="13"/>
        <v>4.9999999999997158E-2</v>
      </c>
    </row>
    <row r="95" spans="1:16" x14ac:dyDescent="0.35">
      <c r="A95">
        <f t="shared" si="9"/>
        <v>94</v>
      </c>
      <c r="B95">
        <v>65.826999999999998</v>
      </c>
      <c r="C95">
        <v>0</v>
      </c>
      <c r="D95" t="s">
        <v>37</v>
      </c>
      <c r="E95" t="s">
        <v>50</v>
      </c>
      <c r="I95">
        <f t="shared" si="10"/>
        <v>192</v>
      </c>
      <c r="J95">
        <v>93</v>
      </c>
      <c r="K95">
        <f t="shared" si="11"/>
        <v>94</v>
      </c>
      <c r="L95">
        <v>10000</v>
      </c>
      <c r="M95">
        <v>0</v>
      </c>
      <c r="N95">
        <f t="shared" si="15"/>
        <v>38.888888888888886</v>
      </c>
      <c r="P95">
        <f t="shared" si="13"/>
        <v>0.10200000000000387</v>
      </c>
    </row>
    <row r="96" spans="1:16" x14ac:dyDescent="0.35">
      <c r="A96">
        <f t="shared" si="9"/>
        <v>95</v>
      </c>
      <c r="B96">
        <v>66.111999999999995</v>
      </c>
      <c r="C96">
        <v>0</v>
      </c>
      <c r="G96">
        <v>1</v>
      </c>
      <c r="H96">
        <v>1</v>
      </c>
      <c r="I96">
        <f t="shared" si="10"/>
        <v>193</v>
      </c>
      <c r="J96">
        <v>94</v>
      </c>
      <c r="K96">
        <f t="shared" si="11"/>
        <v>95</v>
      </c>
      <c r="L96">
        <v>10000</v>
      </c>
      <c r="M96">
        <v>0</v>
      </c>
      <c r="N96">
        <f t="shared" si="15"/>
        <v>38.888888888888886</v>
      </c>
      <c r="P96">
        <f t="shared" si="13"/>
        <v>0.28499999999999659</v>
      </c>
    </row>
    <row r="97" spans="1:16" x14ac:dyDescent="0.35">
      <c r="A97">
        <f t="shared" si="9"/>
        <v>96</v>
      </c>
      <c r="B97">
        <v>66.305000000000007</v>
      </c>
      <c r="C97">
        <v>0</v>
      </c>
      <c r="F97">
        <v>1</v>
      </c>
      <c r="I97">
        <f t="shared" si="10"/>
        <v>194</v>
      </c>
      <c r="J97">
        <v>95</v>
      </c>
      <c r="K97">
        <f t="shared" si="11"/>
        <v>96</v>
      </c>
      <c r="L97">
        <v>10000</v>
      </c>
      <c r="M97">
        <v>0</v>
      </c>
      <c r="N97">
        <f t="shared" si="15"/>
        <v>38.888888888888886</v>
      </c>
      <c r="P97">
        <f t="shared" si="13"/>
        <v>0.19300000000001205</v>
      </c>
    </row>
    <row r="98" spans="1:16" x14ac:dyDescent="0.35">
      <c r="A98">
        <f t="shared" si="9"/>
        <v>97</v>
      </c>
      <c r="B98">
        <v>66.41</v>
      </c>
      <c r="C98">
        <v>0</v>
      </c>
      <c r="I98">
        <f t="shared" si="10"/>
        <v>195</v>
      </c>
      <c r="J98">
        <v>96</v>
      </c>
      <c r="K98">
        <f t="shared" si="11"/>
        <v>97</v>
      </c>
      <c r="L98">
        <v>10000</v>
      </c>
      <c r="M98">
        <v>0</v>
      </c>
      <c r="N98">
        <f t="shared" si="15"/>
        <v>38.888888888888886</v>
      </c>
      <c r="P98">
        <f t="shared" si="13"/>
        <v>0.10499999999998977</v>
      </c>
    </row>
    <row r="99" spans="1:16" x14ac:dyDescent="0.35">
      <c r="A99">
        <f t="shared" si="9"/>
        <v>98</v>
      </c>
      <c r="B99">
        <v>66.545000000000002</v>
      </c>
      <c r="C99">
        <v>0</v>
      </c>
      <c r="I99">
        <f t="shared" si="10"/>
        <v>196</v>
      </c>
      <c r="J99">
        <v>97</v>
      </c>
      <c r="K99">
        <f t="shared" si="11"/>
        <v>98</v>
      </c>
      <c r="L99">
        <v>10000</v>
      </c>
      <c r="M99">
        <v>0</v>
      </c>
      <c r="N99">
        <f t="shared" si="15"/>
        <v>38.888888888888886</v>
      </c>
      <c r="P99">
        <f t="shared" si="13"/>
        <v>0.13500000000000512</v>
      </c>
    </row>
    <row r="100" spans="1:16" x14ac:dyDescent="0.35">
      <c r="A100">
        <f t="shared" si="9"/>
        <v>99</v>
      </c>
      <c r="B100">
        <v>67.183999999999997</v>
      </c>
      <c r="C100">
        <v>0</v>
      </c>
      <c r="G100">
        <v>1</v>
      </c>
      <c r="H100">
        <v>-1</v>
      </c>
      <c r="I100">
        <f t="shared" si="10"/>
        <v>197</v>
      </c>
      <c r="J100">
        <v>98</v>
      </c>
      <c r="K100">
        <f t="shared" si="11"/>
        <v>99</v>
      </c>
      <c r="L100">
        <v>10000</v>
      </c>
      <c r="M100">
        <v>0</v>
      </c>
      <c r="N100">
        <f t="shared" si="15"/>
        <v>38.888888888888886</v>
      </c>
      <c r="P100">
        <f t="shared" si="13"/>
        <v>0.63899999999999579</v>
      </c>
    </row>
    <row r="101" spans="1:16" x14ac:dyDescent="0.35">
      <c r="A101">
        <f t="shared" si="9"/>
        <v>100</v>
      </c>
      <c r="B101">
        <v>67.53</v>
      </c>
      <c r="C101">
        <v>0</v>
      </c>
      <c r="G101">
        <v>1</v>
      </c>
      <c r="H101">
        <v>1</v>
      </c>
      <c r="I101">
        <f t="shared" si="10"/>
        <v>198</v>
      </c>
      <c r="J101">
        <v>99</v>
      </c>
      <c r="K101">
        <f t="shared" si="11"/>
        <v>100</v>
      </c>
      <c r="L101">
        <v>10000</v>
      </c>
      <c r="M101">
        <v>0</v>
      </c>
      <c r="N101">
        <f t="shared" si="15"/>
        <v>38.888888888888886</v>
      </c>
      <c r="P101">
        <f t="shared" si="13"/>
        <v>0.34600000000000364</v>
      </c>
    </row>
    <row r="102" spans="1:16" x14ac:dyDescent="0.35">
      <c r="A102">
        <f t="shared" si="9"/>
        <v>101</v>
      </c>
      <c r="B102">
        <v>68.534000000000006</v>
      </c>
      <c r="C102">
        <v>0</v>
      </c>
      <c r="I102">
        <f t="shared" si="10"/>
        <v>199</v>
      </c>
      <c r="J102">
        <v>100</v>
      </c>
      <c r="K102">
        <f t="shared" si="11"/>
        <v>101</v>
      </c>
      <c r="L102">
        <v>10000</v>
      </c>
      <c r="M102">
        <v>0</v>
      </c>
      <c r="N102">
        <f t="shared" si="15"/>
        <v>38.888888888888886</v>
      </c>
      <c r="P102">
        <f t="shared" si="13"/>
        <v>1.0040000000000049</v>
      </c>
    </row>
    <row r="103" spans="1:16" x14ac:dyDescent="0.35">
      <c r="A103">
        <f t="shared" si="9"/>
        <v>102</v>
      </c>
      <c r="B103">
        <v>68.900000000000006</v>
      </c>
      <c r="C103">
        <v>0</v>
      </c>
      <c r="G103">
        <v>1</v>
      </c>
      <c r="H103">
        <v>1</v>
      </c>
      <c r="I103">
        <f t="shared" si="10"/>
        <v>200</v>
      </c>
      <c r="J103">
        <v>101</v>
      </c>
      <c r="K103">
        <f t="shared" si="11"/>
        <v>102</v>
      </c>
      <c r="L103">
        <v>10000</v>
      </c>
      <c r="M103">
        <v>0</v>
      </c>
      <c r="N103">
        <f t="shared" si="15"/>
        <v>38.888888888888886</v>
      </c>
      <c r="P103">
        <f t="shared" si="13"/>
        <v>0.36599999999999966</v>
      </c>
    </row>
    <row r="104" spans="1:16" x14ac:dyDescent="0.35">
      <c r="A104">
        <f t="shared" si="9"/>
        <v>103</v>
      </c>
      <c r="B104">
        <v>69.897999999999996</v>
      </c>
      <c r="C104">
        <v>0</v>
      </c>
      <c r="I104">
        <f t="shared" si="10"/>
        <v>201</v>
      </c>
      <c r="J104">
        <v>102</v>
      </c>
      <c r="K104">
        <f t="shared" si="11"/>
        <v>103</v>
      </c>
      <c r="L104">
        <v>10000</v>
      </c>
      <c r="M104">
        <v>0</v>
      </c>
      <c r="N104">
        <f t="shared" si="15"/>
        <v>38.888888888888886</v>
      </c>
      <c r="P104">
        <f t="shared" si="13"/>
        <v>0.99799999999999045</v>
      </c>
    </row>
    <row r="105" spans="1:16" x14ac:dyDescent="0.35">
      <c r="A105">
        <f t="shared" si="9"/>
        <v>104</v>
      </c>
      <c r="B105">
        <v>70.349999999999994</v>
      </c>
      <c r="C105">
        <v>0</v>
      </c>
      <c r="G105">
        <v>1</v>
      </c>
      <c r="H105">
        <v>1</v>
      </c>
      <c r="I105">
        <f t="shared" si="10"/>
        <v>202</v>
      </c>
      <c r="J105">
        <v>103</v>
      </c>
      <c r="K105">
        <f t="shared" si="11"/>
        <v>104</v>
      </c>
      <c r="L105">
        <v>10000</v>
      </c>
      <c r="M105">
        <v>0</v>
      </c>
      <c r="N105">
        <f t="shared" si="15"/>
        <v>38.888888888888886</v>
      </c>
      <c r="P105">
        <f t="shared" si="13"/>
        <v>0.45199999999999818</v>
      </c>
    </row>
    <row r="106" spans="1:16" x14ac:dyDescent="0.35">
      <c r="A106">
        <f t="shared" si="9"/>
        <v>105</v>
      </c>
      <c r="B106">
        <v>70.765000000000001</v>
      </c>
      <c r="C106">
        <v>0</v>
      </c>
      <c r="F106">
        <v>1</v>
      </c>
      <c r="I106">
        <f t="shared" si="10"/>
        <v>203</v>
      </c>
      <c r="J106">
        <v>104</v>
      </c>
      <c r="K106">
        <f t="shared" si="11"/>
        <v>105</v>
      </c>
      <c r="L106">
        <v>10000</v>
      </c>
      <c r="M106">
        <v>0</v>
      </c>
      <c r="N106">
        <f t="shared" si="15"/>
        <v>38.888888888888886</v>
      </c>
      <c r="P106">
        <f t="shared" si="13"/>
        <v>0.41500000000000625</v>
      </c>
    </row>
    <row r="107" spans="1:16" x14ac:dyDescent="0.35">
      <c r="A107">
        <f t="shared" si="9"/>
        <v>106</v>
      </c>
      <c r="B107">
        <v>70.828999999999994</v>
      </c>
      <c r="C107">
        <v>0</v>
      </c>
      <c r="I107">
        <f t="shared" si="10"/>
        <v>204</v>
      </c>
      <c r="J107">
        <v>105</v>
      </c>
      <c r="K107">
        <f t="shared" si="11"/>
        <v>106</v>
      </c>
      <c r="L107">
        <v>10000</v>
      </c>
      <c r="M107">
        <v>0</v>
      </c>
      <c r="N107">
        <f t="shared" si="15"/>
        <v>38.888888888888886</v>
      </c>
      <c r="P107">
        <f t="shared" si="13"/>
        <v>6.3999999999992951E-2</v>
      </c>
    </row>
    <row r="108" spans="1:16" x14ac:dyDescent="0.35">
      <c r="A108">
        <f t="shared" si="9"/>
        <v>107</v>
      </c>
      <c r="B108">
        <v>71.36</v>
      </c>
      <c r="C108">
        <v>0</v>
      </c>
      <c r="I108">
        <f t="shared" si="10"/>
        <v>205</v>
      </c>
      <c r="J108">
        <v>106</v>
      </c>
      <c r="K108">
        <f t="shared" si="11"/>
        <v>107</v>
      </c>
      <c r="L108">
        <v>10000</v>
      </c>
      <c r="M108">
        <v>0</v>
      </c>
      <c r="N108">
        <f t="shared" si="15"/>
        <v>38.888888888888886</v>
      </c>
      <c r="P108">
        <f t="shared" si="13"/>
        <v>0.53100000000000591</v>
      </c>
    </row>
    <row r="109" spans="1:16" x14ac:dyDescent="0.35">
      <c r="A109">
        <f t="shared" si="9"/>
        <v>108</v>
      </c>
      <c r="B109">
        <v>71.456999999999994</v>
      </c>
      <c r="C109">
        <v>0</v>
      </c>
      <c r="I109">
        <f t="shared" si="10"/>
        <v>206</v>
      </c>
      <c r="J109">
        <v>107</v>
      </c>
      <c r="K109">
        <f t="shared" si="11"/>
        <v>108</v>
      </c>
      <c r="L109">
        <v>10000</v>
      </c>
      <c r="M109">
        <v>0</v>
      </c>
      <c r="N109">
        <f t="shared" si="15"/>
        <v>38.888888888888886</v>
      </c>
      <c r="P109">
        <f t="shared" si="13"/>
        <v>9.6999999999994202E-2</v>
      </c>
    </row>
    <row r="110" spans="1:16" x14ac:dyDescent="0.35">
      <c r="A110">
        <f t="shared" si="9"/>
        <v>109</v>
      </c>
      <c r="B110">
        <v>71.52</v>
      </c>
      <c r="C110">
        <v>0</v>
      </c>
      <c r="F110">
        <v>1</v>
      </c>
      <c r="I110">
        <f t="shared" si="10"/>
        <v>207</v>
      </c>
      <c r="J110">
        <v>108</v>
      </c>
      <c r="K110">
        <f t="shared" si="11"/>
        <v>109</v>
      </c>
      <c r="L110">
        <v>10000</v>
      </c>
      <c r="M110">
        <v>0</v>
      </c>
      <c r="N110">
        <f t="shared" si="15"/>
        <v>38.888888888888886</v>
      </c>
      <c r="P110">
        <f t="shared" si="13"/>
        <v>6.3000000000002387E-2</v>
      </c>
    </row>
    <row r="111" spans="1:16" x14ac:dyDescent="0.35">
      <c r="A111">
        <f t="shared" si="9"/>
        <v>110</v>
      </c>
      <c r="B111">
        <v>71.600999999999999</v>
      </c>
      <c r="C111">
        <v>0</v>
      </c>
      <c r="I111">
        <f t="shared" si="10"/>
        <v>208</v>
      </c>
      <c r="J111">
        <v>109</v>
      </c>
      <c r="K111">
        <f t="shared" si="11"/>
        <v>110</v>
      </c>
      <c r="L111">
        <v>10000</v>
      </c>
      <c r="M111">
        <v>0</v>
      </c>
      <c r="N111">
        <f t="shared" si="15"/>
        <v>38.888888888888886</v>
      </c>
      <c r="P111">
        <f t="shared" ref="P111:P131" si="16">B111-B110</f>
        <v>8.100000000000307E-2</v>
      </c>
    </row>
    <row r="112" spans="1:16" x14ac:dyDescent="0.35">
      <c r="A112">
        <f t="shared" si="9"/>
        <v>111</v>
      </c>
      <c r="B112">
        <v>71.653000000000006</v>
      </c>
      <c r="C112">
        <v>0</v>
      </c>
      <c r="D112" t="s">
        <v>38</v>
      </c>
      <c r="I112">
        <f t="shared" si="10"/>
        <v>209</v>
      </c>
      <c r="J112">
        <v>110</v>
      </c>
      <c r="K112">
        <f t="shared" si="11"/>
        <v>111</v>
      </c>
      <c r="L112">
        <v>10000</v>
      </c>
      <c r="M112">
        <v>0</v>
      </c>
      <c r="N112">
        <f t="shared" si="15"/>
        <v>38.888888888888886</v>
      </c>
      <c r="P112">
        <f t="shared" si="16"/>
        <v>5.2000000000006708E-2</v>
      </c>
    </row>
    <row r="113" spans="1:16" x14ac:dyDescent="0.35">
      <c r="A113">
        <f t="shared" si="9"/>
        <v>112</v>
      </c>
      <c r="B113">
        <v>71.751000000000005</v>
      </c>
      <c r="C113">
        <v>0</v>
      </c>
      <c r="I113">
        <f t="shared" si="10"/>
        <v>210</v>
      </c>
      <c r="J113">
        <v>111</v>
      </c>
      <c r="K113">
        <f t="shared" si="11"/>
        <v>112</v>
      </c>
      <c r="L113">
        <v>10000</v>
      </c>
      <c r="M113">
        <v>0</v>
      </c>
      <c r="N113">
        <f t="shared" si="15"/>
        <v>38.888888888888886</v>
      </c>
      <c r="P113">
        <f t="shared" si="16"/>
        <v>9.7999999999998977E-2</v>
      </c>
    </row>
    <row r="114" spans="1:16" x14ac:dyDescent="0.35">
      <c r="A114">
        <f t="shared" si="9"/>
        <v>113</v>
      </c>
      <c r="B114">
        <v>71.823999999999998</v>
      </c>
      <c r="C114">
        <v>0</v>
      </c>
      <c r="I114">
        <f t="shared" si="10"/>
        <v>211</v>
      </c>
      <c r="J114">
        <v>112</v>
      </c>
      <c r="K114">
        <f t="shared" si="11"/>
        <v>113</v>
      </c>
      <c r="L114">
        <v>10000</v>
      </c>
      <c r="M114">
        <v>0</v>
      </c>
      <c r="N114">
        <f t="shared" si="15"/>
        <v>38.888888888888886</v>
      </c>
      <c r="P114">
        <f t="shared" si="16"/>
        <v>7.2999999999993292E-2</v>
      </c>
    </row>
    <row r="115" spans="1:16" x14ac:dyDescent="0.35">
      <c r="A115">
        <f t="shared" si="9"/>
        <v>114</v>
      </c>
      <c r="B115">
        <v>71.86</v>
      </c>
      <c r="C115">
        <v>0</v>
      </c>
      <c r="G115">
        <v>1</v>
      </c>
      <c r="H115">
        <v>1</v>
      </c>
      <c r="I115">
        <f t="shared" si="10"/>
        <v>212</v>
      </c>
      <c r="J115">
        <v>113</v>
      </c>
      <c r="K115">
        <f t="shared" si="11"/>
        <v>114</v>
      </c>
      <c r="L115">
        <v>10000</v>
      </c>
      <c r="M115">
        <v>0</v>
      </c>
      <c r="N115">
        <f t="shared" si="15"/>
        <v>38.888888888888886</v>
      </c>
      <c r="P115">
        <f t="shared" si="16"/>
        <v>3.6000000000001364E-2</v>
      </c>
    </row>
    <row r="116" spans="1:16" x14ac:dyDescent="0.35">
      <c r="A116">
        <f t="shared" si="9"/>
        <v>115</v>
      </c>
      <c r="B116">
        <v>71.936000000000007</v>
      </c>
      <c r="C116">
        <v>0</v>
      </c>
      <c r="I116">
        <f t="shared" si="10"/>
        <v>213</v>
      </c>
      <c r="J116">
        <v>114</v>
      </c>
      <c r="K116">
        <f t="shared" si="11"/>
        <v>115</v>
      </c>
      <c r="L116">
        <v>10000</v>
      </c>
      <c r="M116">
        <v>0</v>
      </c>
      <c r="N116">
        <f t="shared" si="15"/>
        <v>38.888888888888886</v>
      </c>
      <c r="P116">
        <f t="shared" si="16"/>
        <v>7.6000000000007617E-2</v>
      </c>
    </row>
    <row r="117" spans="1:16" x14ac:dyDescent="0.35">
      <c r="A117">
        <f t="shared" si="9"/>
        <v>116</v>
      </c>
      <c r="B117">
        <v>71.998000000000005</v>
      </c>
      <c r="C117">
        <v>0</v>
      </c>
      <c r="I117">
        <f t="shared" si="10"/>
        <v>214</v>
      </c>
      <c r="J117">
        <v>115</v>
      </c>
      <c r="K117">
        <f t="shared" si="11"/>
        <v>116</v>
      </c>
      <c r="L117">
        <v>10000</v>
      </c>
      <c r="M117">
        <v>0</v>
      </c>
      <c r="N117">
        <f t="shared" si="15"/>
        <v>38.888888888888886</v>
      </c>
      <c r="P117">
        <f t="shared" si="16"/>
        <v>6.1999999999997613E-2</v>
      </c>
    </row>
    <row r="118" spans="1:16" x14ac:dyDescent="0.35">
      <c r="A118">
        <f t="shared" si="9"/>
        <v>117</v>
      </c>
      <c r="B118">
        <v>72.468999999999994</v>
      </c>
      <c r="C118">
        <v>0</v>
      </c>
      <c r="I118">
        <f t="shared" si="10"/>
        <v>215</v>
      </c>
      <c r="J118">
        <v>116</v>
      </c>
      <c r="K118">
        <f t="shared" si="11"/>
        <v>117</v>
      </c>
      <c r="L118">
        <v>10000</v>
      </c>
      <c r="M118">
        <v>0</v>
      </c>
      <c r="N118">
        <f t="shared" si="15"/>
        <v>38.888888888888886</v>
      </c>
      <c r="P118">
        <f t="shared" si="16"/>
        <v>0.47099999999998943</v>
      </c>
    </row>
    <row r="119" spans="1:16" x14ac:dyDescent="0.35">
      <c r="A119">
        <f t="shared" si="9"/>
        <v>118</v>
      </c>
      <c r="B119">
        <v>72.739999999999995</v>
      </c>
      <c r="C119">
        <v>0</v>
      </c>
      <c r="G119">
        <v>1</v>
      </c>
      <c r="H119">
        <v>-1</v>
      </c>
      <c r="I119">
        <f t="shared" si="10"/>
        <v>216</v>
      </c>
      <c r="J119">
        <v>117</v>
      </c>
      <c r="K119">
        <f t="shared" si="11"/>
        <v>118</v>
      </c>
      <c r="L119">
        <v>10000</v>
      </c>
      <c r="M119">
        <v>0</v>
      </c>
      <c r="N119">
        <f t="shared" si="15"/>
        <v>38.888888888888886</v>
      </c>
      <c r="P119">
        <f t="shared" si="16"/>
        <v>0.2710000000000008</v>
      </c>
    </row>
    <row r="120" spans="1:16" x14ac:dyDescent="0.35">
      <c r="A120">
        <f t="shared" si="9"/>
        <v>119</v>
      </c>
      <c r="B120">
        <v>73.210999999999999</v>
      </c>
      <c r="C120">
        <v>0</v>
      </c>
      <c r="G120">
        <v>1</v>
      </c>
      <c r="H120">
        <v>1</v>
      </c>
      <c r="I120">
        <f t="shared" si="10"/>
        <v>217</v>
      </c>
      <c r="J120">
        <v>118</v>
      </c>
      <c r="K120">
        <f t="shared" si="11"/>
        <v>119</v>
      </c>
      <c r="L120">
        <v>10000</v>
      </c>
      <c r="M120">
        <v>0</v>
      </c>
      <c r="N120">
        <f t="shared" si="15"/>
        <v>38.888888888888886</v>
      </c>
      <c r="P120">
        <f t="shared" si="16"/>
        <v>0.47100000000000364</v>
      </c>
    </row>
    <row r="121" spans="1:16" x14ac:dyDescent="0.35">
      <c r="A121">
        <f t="shared" si="9"/>
        <v>120</v>
      </c>
      <c r="B121">
        <v>74.245000000000005</v>
      </c>
      <c r="C121">
        <v>0</v>
      </c>
      <c r="G121">
        <v>1</v>
      </c>
      <c r="H121">
        <v>-1</v>
      </c>
      <c r="I121">
        <f t="shared" si="10"/>
        <v>218</v>
      </c>
      <c r="J121">
        <v>119</v>
      </c>
      <c r="K121">
        <f t="shared" si="11"/>
        <v>120</v>
      </c>
      <c r="L121">
        <v>10000</v>
      </c>
      <c r="M121">
        <v>0</v>
      </c>
      <c r="N121">
        <f t="shared" si="15"/>
        <v>38.888888888888886</v>
      </c>
      <c r="P121">
        <f t="shared" si="16"/>
        <v>1.034000000000006</v>
      </c>
    </row>
    <row r="122" spans="1:16" x14ac:dyDescent="0.35">
      <c r="A122">
        <f t="shared" si="9"/>
        <v>121</v>
      </c>
      <c r="B122">
        <v>74.593000000000004</v>
      </c>
      <c r="C122">
        <v>0</v>
      </c>
      <c r="G122">
        <v>1</v>
      </c>
      <c r="H122">
        <v>1</v>
      </c>
      <c r="I122">
        <f t="shared" si="10"/>
        <v>219</v>
      </c>
      <c r="J122">
        <v>120</v>
      </c>
      <c r="K122">
        <f t="shared" si="11"/>
        <v>121</v>
      </c>
      <c r="L122">
        <v>10000</v>
      </c>
      <c r="M122">
        <v>0</v>
      </c>
      <c r="N122">
        <f t="shared" si="15"/>
        <v>38.888888888888886</v>
      </c>
      <c r="P122">
        <f t="shared" si="16"/>
        <v>0.34799999999999898</v>
      </c>
    </row>
    <row r="123" spans="1:16" x14ac:dyDescent="0.35">
      <c r="A123">
        <f t="shared" si="9"/>
        <v>122</v>
      </c>
      <c r="B123">
        <v>75.742000000000004</v>
      </c>
      <c r="C123">
        <v>0</v>
      </c>
      <c r="G123">
        <v>1</v>
      </c>
      <c r="H123">
        <v>-1</v>
      </c>
      <c r="I123">
        <f t="shared" si="10"/>
        <v>220</v>
      </c>
      <c r="J123">
        <v>121</v>
      </c>
      <c r="K123">
        <f t="shared" si="11"/>
        <v>122</v>
      </c>
      <c r="L123">
        <v>10000</v>
      </c>
      <c r="M123">
        <v>0</v>
      </c>
      <c r="N123">
        <f t="shared" si="15"/>
        <v>38.888888888888886</v>
      </c>
      <c r="P123">
        <f t="shared" si="16"/>
        <v>1.1490000000000009</v>
      </c>
    </row>
    <row r="124" spans="1:16" x14ac:dyDescent="0.35">
      <c r="A124">
        <f t="shared" si="9"/>
        <v>123</v>
      </c>
      <c r="B124">
        <v>76.055999999999997</v>
      </c>
      <c r="C124">
        <v>0</v>
      </c>
      <c r="G124">
        <v>1</v>
      </c>
      <c r="H124">
        <v>1</v>
      </c>
      <c r="I124">
        <f t="shared" si="10"/>
        <v>221</v>
      </c>
      <c r="J124">
        <v>122</v>
      </c>
      <c r="K124">
        <f t="shared" si="11"/>
        <v>123</v>
      </c>
      <c r="L124">
        <v>10000</v>
      </c>
      <c r="M124">
        <v>0</v>
      </c>
      <c r="N124">
        <f t="shared" si="15"/>
        <v>38.888888888888886</v>
      </c>
      <c r="P124">
        <f t="shared" si="16"/>
        <v>0.31399999999999295</v>
      </c>
    </row>
    <row r="125" spans="1:16" x14ac:dyDescent="0.35">
      <c r="A125">
        <f t="shared" si="9"/>
        <v>124</v>
      </c>
      <c r="B125">
        <v>77.278999999999996</v>
      </c>
      <c r="C125">
        <v>0</v>
      </c>
      <c r="G125">
        <v>1</v>
      </c>
      <c r="H125">
        <v>-1</v>
      </c>
      <c r="I125">
        <f t="shared" si="10"/>
        <v>222</v>
      </c>
      <c r="J125">
        <v>123</v>
      </c>
      <c r="K125">
        <f t="shared" si="11"/>
        <v>124</v>
      </c>
      <c r="L125">
        <v>10000</v>
      </c>
      <c r="M125">
        <v>0</v>
      </c>
      <c r="N125">
        <f t="shared" si="15"/>
        <v>38.888888888888886</v>
      </c>
      <c r="P125">
        <f t="shared" si="16"/>
        <v>1.222999999999999</v>
      </c>
    </row>
    <row r="126" spans="1:16" x14ac:dyDescent="0.35">
      <c r="A126">
        <f t="shared" si="9"/>
        <v>125</v>
      </c>
      <c r="B126">
        <v>77.81</v>
      </c>
      <c r="C126">
        <v>0</v>
      </c>
      <c r="G126">
        <v>1</v>
      </c>
      <c r="H126">
        <v>1</v>
      </c>
      <c r="I126">
        <f t="shared" si="10"/>
        <v>223</v>
      </c>
      <c r="J126">
        <v>124</v>
      </c>
      <c r="K126">
        <f t="shared" si="11"/>
        <v>125</v>
      </c>
      <c r="L126">
        <v>10000</v>
      </c>
      <c r="M126">
        <v>0</v>
      </c>
      <c r="N126">
        <f t="shared" si="15"/>
        <v>38.888888888888886</v>
      </c>
      <c r="P126">
        <f t="shared" si="16"/>
        <v>0.53100000000000591</v>
      </c>
    </row>
    <row r="127" spans="1:16" x14ac:dyDescent="0.35">
      <c r="A127">
        <f t="shared" si="9"/>
        <v>126</v>
      </c>
      <c r="B127">
        <v>78.391999999999996</v>
      </c>
      <c r="C127">
        <v>0</v>
      </c>
      <c r="I127">
        <f t="shared" si="10"/>
        <v>224</v>
      </c>
      <c r="J127">
        <v>125</v>
      </c>
      <c r="K127">
        <f t="shared" si="11"/>
        <v>126</v>
      </c>
      <c r="L127">
        <v>10000</v>
      </c>
      <c r="M127">
        <v>0</v>
      </c>
      <c r="N127">
        <f t="shared" si="15"/>
        <v>38.888888888888886</v>
      </c>
      <c r="P127">
        <f t="shared" si="16"/>
        <v>0.58199999999999363</v>
      </c>
    </row>
    <row r="128" spans="1:16" x14ac:dyDescent="0.35">
      <c r="A128">
        <f t="shared" si="9"/>
        <v>127</v>
      </c>
      <c r="B128">
        <v>78.414000000000001</v>
      </c>
      <c r="C128">
        <v>0</v>
      </c>
      <c r="I128">
        <f t="shared" si="10"/>
        <v>225</v>
      </c>
      <c r="J128">
        <v>126</v>
      </c>
      <c r="K128">
        <f t="shared" si="11"/>
        <v>127</v>
      </c>
      <c r="L128">
        <v>10000</v>
      </c>
      <c r="M128">
        <v>0</v>
      </c>
      <c r="N128">
        <f t="shared" si="15"/>
        <v>38.888888888888886</v>
      </c>
      <c r="P128">
        <f t="shared" si="16"/>
        <v>2.2000000000005571E-2</v>
      </c>
    </row>
    <row r="129" spans="1:16" x14ac:dyDescent="0.35">
      <c r="A129">
        <f t="shared" si="9"/>
        <v>128</v>
      </c>
      <c r="B129">
        <v>78.489000000000004</v>
      </c>
      <c r="C129">
        <v>0</v>
      </c>
      <c r="I129">
        <f t="shared" si="10"/>
        <v>226</v>
      </c>
      <c r="J129">
        <v>127</v>
      </c>
      <c r="K129">
        <f t="shared" si="11"/>
        <v>128</v>
      </c>
      <c r="L129">
        <v>10000</v>
      </c>
      <c r="M129">
        <v>0</v>
      </c>
      <c r="N129">
        <f t="shared" si="15"/>
        <v>38.888888888888886</v>
      </c>
      <c r="P129">
        <f t="shared" si="16"/>
        <v>7.5000000000002842E-2</v>
      </c>
    </row>
    <row r="130" spans="1:16" x14ac:dyDescent="0.35">
      <c r="A130">
        <f t="shared" si="9"/>
        <v>129</v>
      </c>
      <c r="B130">
        <v>78.507999999999996</v>
      </c>
      <c r="C130">
        <v>0</v>
      </c>
      <c r="D130" t="s">
        <v>39</v>
      </c>
      <c r="I130">
        <f t="shared" si="10"/>
        <v>227</v>
      </c>
      <c r="J130">
        <v>128</v>
      </c>
      <c r="K130">
        <f t="shared" si="11"/>
        <v>129</v>
      </c>
      <c r="L130">
        <v>10000</v>
      </c>
      <c r="M130">
        <v>0</v>
      </c>
      <c r="N130">
        <f t="shared" si="15"/>
        <v>38.888888888888886</v>
      </c>
      <c r="P130">
        <f t="shared" si="16"/>
        <v>1.8999999999991246E-2</v>
      </c>
    </row>
    <row r="131" spans="1:16" x14ac:dyDescent="0.35">
      <c r="A131">
        <f t="shared" si="9"/>
        <v>130</v>
      </c>
      <c r="B131">
        <v>78.751999999999995</v>
      </c>
      <c r="C131">
        <v>0</v>
      </c>
      <c r="G131">
        <v>1</v>
      </c>
      <c r="H131">
        <v>0</v>
      </c>
      <c r="I131">
        <f t="shared" si="10"/>
        <v>228</v>
      </c>
      <c r="J131">
        <v>129</v>
      </c>
      <c r="K131">
        <f t="shared" si="11"/>
        <v>130</v>
      </c>
      <c r="L131">
        <v>10000</v>
      </c>
      <c r="M131">
        <v>0</v>
      </c>
      <c r="N131">
        <f t="shared" si="15"/>
        <v>38.888888888888886</v>
      </c>
      <c r="P131">
        <f t="shared" si="16"/>
        <v>0.24399999999999977</v>
      </c>
    </row>
  </sheetData>
  <autoFilter ref="A1:O131" xr:uid="{AB14C455-DDDB-4858-AC18-69703D76F39F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FAAA-71DF-4299-8B6E-E9BE8F62856E}">
  <dimension ref="A1:P133"/>
  <sheetViews>
    <sheetView zoomScale="55" zoomScaleNormal="55" workbookViewId="0">
      <selection activeCell="A2" sqref="A2:C133"/>
    </sheetView>
  </sheetViews>
  <sheetFormatPr defaultRowHeight="14.5" x14ac:dyDescent="0.35"/>
  <cols>
    <col min="4" max="4" width="13.90625" bestFit="1" customWidth="1"/>
    <col min="5" max="5" width="13.179687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30.06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30.2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 t="shared" ref="N3:N17" si="0">100/3.6</f>
        <v>27.777777777777779</v>
      </c>
      <c r="P3">
        <f t="shared" ref="P3:P34" si="1">B3-B2</f>
        <v>0.14000000000000057</v>
      </c>
    </row>
    <row r="4" spans="1:16" x14ac:dyDescent="0.35">
      <c r="A4">
        <f t="shared" ref="A4:A68" si="2">A3+1</f>
        <v>3</v>
      </c>
      <c r="B4">
        <v>30.332000000000001</v>
      </c>
      <c r="C4">
        <v>0</v>
      </c>
      <c r="I4">
        <f>I3+1</f>
        <v>101</v>
      </c>
      <c r="J4">
        <f>J3+1</f>
        <v>2</v>
      </c>
      <c r="K4">
        <f>A4</f>
        <v>3</v>
      </c>
      <c r="L4">
        <v>10000</v>
      </c>
      <c r="M4">
        <v>0</v>
      </c>
      <c r="N4">
        <f t="shared" si="0"/>
        <v>27.777777777777779</v>
      </c>
      <c r="P4">
        <f t="shared" si="1"/>
        <v>0.13200000000000145</v>
      </c>
    </row>
    <row r="5" spans="1:16" x14ac:dyDescent="0.35">
      <c r="A5">
        <f t="shared" si="2"/>
        <v>4</v>
      </c>
      <c r="B5">
        <v>30.57</v>
      </c>
      <c r="C5">
        <v>0</v>
      </c>
      <c r="G5">
        <v>1</v>
      </c>
      <c r="H5">
        <v>-1</v>
      </c>
      <c r="I5">
        <f>I3+1</f>
        <v>101</v>
      </c>
      <c r="J5">
        <f t="shared" ref="J5:J69" si="3">J4+1</f>
        <v>3</v>
      </c>
      <c r="K5">
        <f t="shared" ref="K5:K69" si="4">A5</f>
        <v>4</v>
      </c>
      <c r="L5">
        <v>10000</v>
      </c>
      <c r="M5">
        <v>0</v>
      </c>
      <c r="N5">
        <f t="shared" si="0"/>
        <v>27.777777777777779</v>
      </c>
      <c r="P5">
        <f t="shared" si="1"/>
        <v>0.23799999999999955</v>
      </c>
    </row>
    <row r="6" spans="1:16" x14ac:dyDescent="0.35">
      <c r="A6">
        <f t="shared" si="2"/>
        <v>5</v>
      </c>
      <c r="B6">
        <v>30.952000000000002</v>
      </c>
      <c r="C6">
        <v>0</v>
      </c>
      <c r="G6">
        <v>1</v>
      </c>
      <c r="H6">
        <v>1</v>
      </c>
      <c r="I6">
        <f t="shared" ref="I6:J70" si="5">I5+1</f>
        <v>102</v>
      </c>
      <c r="J6">
        <f t="shared" si="3"/>
        <v>4</v>
      </c>
      <c r="K6">
        <f t="shared" si="4"/>
        <v>5</v>
      </c>
      <c r="L6">
        <v>10000</v>
      </c>
      <c r="M6">
        <v>0</v>
      </c>
      <c r="N6">
        <f t="shared" si="0"/>
        <v>27.777777777777779</v>
      </c>
      <c r="P6">
        <f t="shared" si="1"/>
        <v>0.38200000000000145</v>
      </c>
    </row>
    <row r="7" spans="1:16" x14ac:dyDescent="0.35">
      <c r="A7">
        <f t="shared" si="2"/>
        <v>6</v>
      </c>
      <c r="B7">
        <v>31.475000000000001</v>
      </c>
      <c r="C7">
        <v>0</v>
      </c>
      <c r="G7">
        <v>1</v>
      </c>
      <c r="H7">
        <v>-1</v>
      </c>
      <c r="I7">
        <f t="shared" si="5"/>
        <v>103</v>
      </c>
      <c r="J7">
        <f t="shared" si="3"/>
        <v>5</v>
      </c>
      <c r="K7">
        <f t="shared" si="4"/>
        <v>6</v>
      </c>
      <c r="L7">
        <v>10000</v>
      </c>
      <c r="M7">
        <v>0</v>
      </c>
      <c r="N7">
        <f t="shared" si="0"/>
        <v>27.777777777777779</v>
      </c>
      <c r="P7">
        <f t="shared" si="1"/>
        <v>0.52299999999999969</v>
      </c>
    </row>
    <row r="8" spans="1:16" x14ac:dyDescent="0.35">
      <c r="A8">
        <f t="shared" si="2"/>
        <v>7</v>
      </c>
      <c r="B8">
        <v>32.078000000000003</v>
      </c>
      <c r="C8">
        <v>0</v>
      </c>
      <c r="G8">
        <v>1</v>
      </c>
      <c r="H8">
        <v>1</v>
      </c>
      <c r="I8">
        <f t="shared" si="5"/>
        <v>104</v>
      </c>
      <c r="J8">
        <f t="shared" si="3"/>
        <v>6</v>
      </c>
      <c r="K8">
        <f t="shared" si="4"/>
        <v>7</v>
      </c>
      <c r="L8">
        <v>10000</v>
      </c>
      <c r="M8">
        <v>0</v>
      </c>
      <c r="N8">
        <f t="shared" si="0"/>
        <v>27.777777777777779</v>
      </c>
      <c r="P8">
        <f t="shared" si="1"/>
        <v>0.60300000000000153</v>
      </c>
    </row>
    <row r="9" spans="1:16" x14ac:dyDescent="0.35">
      <c r="A9">
        <f t="shared" si="2"/>
        <v>8</v>
      </c>
      <c r="B9">
        <v>32.344999999999999</v>
      </c>
      <c r="C9">
        <v>0</v>
      </c>
      <c r="F9">
        <v>1</v>
      </c>
      <c r="I9">
        <f t="shared" si="5"/>
        <v>105</v>
      </c>
      <c r="J9">
        <f t="shared" si="3"/>
        <v>7</v>
      </c>
      <c r="K9">
        <f t="shared" si="4"/>
        <v>8</v>
      </c>
      <c r="L9">
        <v>10000</v>
      </c>
      <c r="M9">
        <v>0</v>
      </c>
      <c r="N9">
        <f t="shared" si="0"/>
        <v>27.777777777777779</v>
      </c>
      <c r="P9">
        <f t="shared" si="1"/>
        <v>0.26699999999999591</v>
      </c>
    </row>
    <row r="10" spans="1:16" x14ac:dyDescent="0.35">
      <c r="A10">
        <f t="shared" si="2"/>
        <v>9</v>
      </c>
      <c r="B10">
        <v>32.423000000000002</v>
      </c>
      <c r="C10">
        <v>0</v>
      </c>
      <c r="I10">
        <f t="shared" si="5"/>
        <v>106</v>
      </c>
      <c r="J10">
        <f t="shared" si="3"/>
        <v>8</v>
      </c>
      <c r="K10">
        <f t="shared" si="4"/>
        <v>9</v>
      </c>
      <c r="L10">
        <v>10000</v>
      </c>
      <c r="M10">
        <v>0</v>
      </c>
      <c r="N10">
        <f t="shared" si="0"/>
        <v>27.777777777777779</v>
      </c>
      <c r="P10">
        <f t="shared" si="1"/>
        <v>7.8000000000002956E-2</v>
      </c>
    </row>
    <row r="11" spans="1:16" x14ac:dyDescent="0.35">
      <c r="A11">
        <f t="shared" si="2"/>
        <v>10</v>
      </c>
      <c r="B11">
        <v>32.479999999999997</v>
      </c>
      <c r="C11">
        <v>0</v>
      </c>
      <c r="F11">
        <v>1</v>
      </c>
      <c r="I11">
        <f t="shared" si="5"/>
        <v>107</v>
      </c>
      <c r="J11">
        <f t="shared" si="3"/>
        <v>9</v>
      </c>
      <c r="K11">
        <f t="shared" si="4"/>
        <v>10</v>
      </c>
      <c r="L11">
        <v>10000</v>
      </c>
      <c r="M11">
        <v>0</v>
      </c>
      <c r="N11">
        <f t="shared" si="0"/>
        <v>27.777777777777779</v>
      </c>
      <c r="P11">
        <f t="shared" si="1"/>
        <v>5.6999999999995055E-2</v>
      </c>
    </row>
    <row r="12" spans="1:16" x14ac:dyDescent="0.35">
      <c r="A12">
        <f t="shared" si="2"/>
        <v>11</v>
      </c>
      <c r="B12">
        <v>32.56</v>
      </c>
      <c r="C12">
        <v>0</v>
      </c>
      <c r="I12">
        <f t="shared" si="5"/>
        <v>108</v>
      </c>
      <c r="J12">
        <f t="shared" si="3"/>
        <v>10</v>
      </c>
      <c r="K12">
        <f t="shared" si="4"/>
        <v>11</v>
      </c>
      <c r="L12">
        <v>10000</v>
      </c>
      <c r="M12">
        <v>0</v>
      </c>
      <c r="N12">
        <f t="shared" si="0"/>
        <v>27.777777777777779</v>
      </c>
      <c r="P12">
        <f t="shared" si="1"/>
        <v>8.00000000000054E-2</v>
      </c>
    </row>
    <row r="13" spans="1:16" x14ac:dyDescent="0.35">
      <c r="A13">
        <f t="shared" si="2"/>
        <v>12</v>
      </c>
      <c r="B13">
        <v>32.69</v>
      </c>
      <c r="C13">
        <v>0</v>
      </c>
      <c r="I13">
        <f t="shared" si="5"/>
        <v>109</v>
      </c>
      <c r="J13">
        <f t="shared" si="3"/>
        <v>11</v>
      </c>
      <c r="K13">
        <f t="shared" si="4"/>
        <v>12</v>
      </c>
      <c r="L13">
        <v>10000</v>
      </c>
      <c r="M13">
        <v>0</v>
      </c>
      <c r="N13">
        <f t="shared" si="0"/>
        <v>27.777777777777779</v>
      </c>
      <c r="P13">
        <f t="shared" si="1"/>
        <v>0.12999999999999545</v>
      </c>
    </row>
    <row r="14" spans="1:16" x14ac:dyDescent="0.35">
      <c r="A14">
        <f t="shared" si="2"/>
        <v>13</v>
      </c>
      <c r="B14">
        <v>32.72</v>
      </c>
      <c r="C14">
        <v>0</v>
      </c>
      <c r="I14">
        <f t="shared" si="5"/>
        <v>110</v>
      </c>
      <c r="J14">
        <f t="shared" si="3"/>
        <v>12</v>
      </c>
      <c r="K14">
        <f t="shared" si="4"/>
        <v>13</v>
      </c>
      <c r="L14">
        <v>10000</v>
      </c>
      <c r="M14">
        <v>0</v>
      </c>
      <c r="N14">
        <f t="shared" si="0"/>
        <v>27.777777777777779</v>
      </c>
      <c r="P14">
        <f t="shared" si="1"/>
        <v>3.0000000000001137E-2</v>
      </c>
    </row>
    <row r="15" spans="1:16" x14ac:dyDescent="0.35">
      <c r="A15">
        <f t="shared" si="2"/>
        <v>14</v>
      </c>
      <c r="B15">
        <v>32.799999999999997</v>
      </c>
      <c r="C15">
        <v>0</v>
      </c>
      <c r="I15">
        <f t="shared" si="5"/>
        <v>111</v>
      </c>
      <c r="J15">
        <f t="shared" si="3"/>
        <v>13</v>
      </c>
      <c r="K15">
        <f t="shared" si="4"/>
        <v>14</v>
      </c>
      <c r="L15">
        <v>10000</v>
      </c>
      <c r="M15">
        <v>0</v>
      </c>
      <c r="N15">
        <f t="shared" si="0"/>
        <v>27.777777777777779</v>
      </c>
      <c r="P15">
        <f t="shared" si="1"/>
        <v>7.9999999999998295E-2</v>
      </c>
    </row>
    <row r="16" spans="1:16" x14ac:dyDescent="0.35">
      <c r="A16">
        <f t="shared" si="2"/>
        <v>15</v>
      </c>
      <c r="B16">
        <v>32.905000000000001</v>
      </c>
      <c r="C16">
        <v>0</v>
      </c>
      <c r="G16">
        <v>1</v>
      </c>
      <c r="H16">
        <v>-1</v>
      </c>
      <c r="I16">
        <f t="shared" si="5"/>
        <v>112</v>
      </c>
      <c r="J16">
        <f t="shared" si="3"/>
        <v>14</v>
      </c>
      <c r="K16">
        <f t="shared" si="4"/>
        <v>15</v>
      </c>
      <c r="L16">
        <v>10000</v>
      </c>
      <c r="M16">
        <v>0</v>
      </c>
      <c r="N16">
        <f t="shared" si="0"/>
        <v>27.777777777777779</v>
      </c>
      <c r="P16">
        <f t="shared" si="1"/>
        <v>0.10500000000000398</v>
      </c>
    </row>
    <row r="17" spans="1:16" x14ac:dyDescent="0.35">
      <c r="A17">
        <f t="shared" si="2"/>
        <v>16</v>
      </c>
      <c r="B17">
        <v>32.981999999999999</v>
      </c>
      <c r="C17">
        <v>0</v>
      </c>
      <c r="I17">
        <f t="shared" si="5"/>
        <v>113</v>
      </c>
      <c r="J17">
        <f t="shared" si="3"/>
        <v>15</v>
      </c>
      <c r="K17">
        <f t="shared" si="4"/>
        <v>16</v>
      </c>
      <c r="L17">
        <v>10000</v>
      </c>
      <c r="M17">
        <v>0</v>
      </c>
      <c r="N17">
        <f t="shared" si="0"/>
        <v>27.777777777777779</v>
      </c>
      <c r="P17">
        <f t="shared" si="1"/>
        <v>7.6999999999998181E-2</v>
      </c>
    </row>
    <row r="18" spans="1:16" x14ac:dyDescent="0.35">
      <c r="A18">
        <f t="shared" si="2"/>
        <v>17</v>
      </c>
      <c r="B18">
        <v>33.143000000000001</v>
      </c>
      <c r="C18">
        <v>0</v>
      </c>
      <c r="D18" t="s">
        <v>29</v>
      </c>
      <c r="I18">
        <f t="shared" si="5"/>
        <v>114</v>
      </c>
      <c r="J18">
        <f t="shared" si="3"/>
        <v>16</v>
      </c>
      <c r="K18">
        <f t="shared" si="4"/>
        <v>17</v>
      </c>
      <c r="L18">
        <v>10000</v>
      </c>
      <c r="M18">
        <v>0</v>
      </c>
      <c r="N18">
        <f>100/3.6</f>
        <v>27.777777777777779</v>
      </c>
      <c r="P18">
        <f t="shared" si="1"/>
        <v>0.16100000000000136</v>
      </c>
    </row>
    <row r="19" spans="1:16" x14ac:dyDescent="0.35">
      <c r="A19">
        <f t="shared" si="2"/>
        <v>18</v>
      </c>
      <c r="B19">
        <v>33.243000000000002</v>
      </c>
      <c r="C19">
        <v>0</v>
      </c>
      <c r="G19">
        <v>1</v>
      </c>
      <c r="H19">
        <v>1</v>
      </c>
      <c r="I19">
        <f t="shared" si="5"/>
        <v>115</v>
      </c>
      <c r="J19">
        <f t="shared" si="3"/>
        <v>17</v>
      </c>
      <c r="K19">
        <f t="shared" si="4"/>
        <v>18</v>
      </c>
      <c r="L19">
        <v>10000</v>
      </c>
      <c r="M19">
        <v>0</v>
      </c>
      <c r="N19">
        <f t="shared" ref="N19:N83" si="6">140/3.6</f>
        <v>38.888888888888886</v>
      </c>
      <c r="P19">
        <f t="shared" si="1"/>
        <v>0.10000000000000142</v>
      </c>
    </row>
    <row r="20" spans="1:16" x14ac:dyDescent="0.35">
      <c r="A20">
        <f t="shared" si="2"/>
        <v>19</v>
      </c>
      <c r="B20">
        <v>33.322000000000003</v>
      </c>
      <c r="C20">
        <v>0</v>
      </c>
      <c r="I20">
        <f t="shared" si="5"/>
        <v>116</v>
      </c>
      <c r="J20">
        <f t="shared" si="3"/>
        <v>18</v>
      </c>
      <c r="K20">
        <f t="shared" si="4"/>
        <v>19</v>
      </c>
      <c r="L20">
        <v>10000</v>
      </c>
      <c r="M20">
        <v>0</v>
      </c>
      <c r="N20">
        <f t="shared" si="6"/>
        <v>38.888888888888886</v>
      </c>
      <c r="P20">
        <f t="shared" si="1"/>
        <v>7.9000000000000625E-2</v>
      </c>
    </row>
    <row r="21" spans="1:16" x14ac:dyDescent="0.35">
      <c r="A21">
        <f t="shared" si="2"/>
        <v>20</v>
      </c>
      <c r="B21">
        <v>33.479999999999997</v>
      </c>
      <c r="C21">
        <v>0</v>
      </c>
      <c r="I21">
        <f t="shared" si="5"/>
        <v>117</v>
      </c>
      <c r="J21">
        <f t="shared" si="3"/>
        <v>19</v>
      </c>
      <c r="K21">
        <f t="shared" si="4"/>
        <v>20</v>
      </c>
      <c r="L21">
        <v>10000</v>
      </c>
      <c r="M21">
        <v>0</v>
      </c>
      <c r="N21">
        <f t="shared" si="6"/>
        <v>38.888888888888886</v>
      </c>
      <c r="P21">
        <f t="shared" si="1"/>
        <v>0.15799999999999415</v>
      </c>
    </row>
    <row r="22" spans="1:16" x14ac:dyDescent="0.35">
      <c r="A22">
        <f t="shared" si="2"/>
        <v>21</v>
      </c>
      <c r="B22">
        <v>33.56</v>
      </c>
      <c r="C22">
        <v>0</v>
      </c>
      <c r="I22">
        <f t="shared" si="5"/>
        <v>118</v>
      </c>
      <c r="J22">
        <f t="shared" si="3"/>
        <v>20</v>
      </c>
      <c r="K22">
        <f t="shared" si="4"/>
        <v>21</v>
      </c>
      <c r="L22">
        <v>10000</v>
      </c>
      <c r="M22">
        <v>0</v>
      </c>
      <c r="N22">
        <f t="shared" si="6"/>
        <v>38.888888888888886</v>
      </c>
      <c r="P22">
        <f t="shared" si="1"/>
        <v>8.00000000000054E-2</v>
      </c>
    </row>
    <row r="23" spans="1:16" x14ac:dyDescent="0.35">
      <c r="A23">
        <f t="shared" si="2"/>
        <v>22</v>
      </c>
      <c r="B23">
        <v>33.57</v>
      </c>
      <c r="C23">
        <v>0</v>
      </c>
      <c r="I23">
        <f t="shared" si="5"/>
        <v>119</v>
      </c>
      <c r="J23">
        <f t="shared" si="3"/>
        <v>21</v>
      </c>
      <c r="K23">
        <f t="shared" si="4"/>
        <v>22</v>
      </c>
      <c r="L23">
        <v>10000</v>
      </c>
      <c r="M23">
        <v>0</v>
      </c>
      <c r="N23">
        <f t="shared" si="6"/>
        <v>38.888888888888886</v>
      </c>
      <c r="P23">
        <f t="shared" si="1"/>
        <v>9.9999999999980105E-3</v>
      </c>
    </row>
    <row r="24" spans="1:16" x14ac:dyDescent="0.35">
      <c r="A24">
        <f t="shared" si="2"/>
        <v>23</v>
      </c>
      <c r="B24">
        <v>33.619999999999997</v>
      </c>
      <c r="C24">
        <v>0</v>
      </c>
      <c r="I24">
        <f t="shared" si="5"/>
        <v>120</v>
      </c>
      <c r="J24">
        <f t="shared" si="3"/>
        <v>22</v>
      </c>
      <c r="K24">
        <f t="shared" si="4"/>
        <v>23</v>
      </c>
      <c r="L24">
        <v>10000</v>
      </c>
      <c r="M24">
        <v>0</v>
      </c>
      <c r="N24">
        <f t="shared" si="6"/>
        <v>38.888888888888886</v>
      </c>
      <c r="P24">
        <f t="shared" si="1"/>
        <v>4.9999999999997158E-2</v>
      </c>
    </row>
    <row r="25" spans="1:16" x14ac:dyDescent="0.35">
      <c r="A25">
        <f t="shared" si="2"/>
        <v>24</v>
      </c>
      <c r="B25">
        <v>33.65</v>
      </c>
      <c r="C25">
        <v>0</v>
      </c>
      <c r="F25">
        <v>1</v>
      </c>
      <c r="I25">
        <f t="shared" si="5"/>
        <v>121</v>
      </c>
      <c r="J25">
        <f t="shared" si="3"/>
        <v>23</v>
      </c>
      <c r="K25">
        <f t="shared" si="4"/>
        <v>24</v>
      </c>
      <c r="L25">
        <v>10000</v>
      </c>
      <c r="M25">
        <v>0</v>
      </c>
      <c r="N25">
        <f t="shared" si="6"/>
        <v>38.888888888888886</v>
      </c>
      <c r="P25">
        <f t="shared" si="1"/>
        <v>3.0000000000001137E-2</v>
      </c>
    </row>
    <row r="26" spans="1:16" x14ac:dyDescent="0.35">
      <c r="A26">
        <f t="shared" si="2"/>
        <v>25</v>
      </c>
      <c r="B26">
        <v>33.700000000000003</v>
      </c>
      <c r="C26">
        <v>0</v>
      </c>
      <c r="I26">
        <f t="shared" si="5"/>
        <v>122</v>
      </c>
      <c r="J26">
        <f t="shared" si="3"/>
        <v>24</v>
      </c>
      <c r="K26">
        <f t="shared" si="4"/>
        <v>25</v>
      </c>
      <c r="L26">
        <v>10000</v>
      </c>
      <c r="M26">
        <v>0</v>
      </c>
      <c r="N26">
        <f t="shared" si="6"/>
        <v>38.888888888888886</v>
      </c>
      <c r="P26">
        <f t="shared" si="1"/>
        <v>5.0000000000004263E-2</v>
      </c>
    </row>
    <row r="27" spans="1:16" x14ac:dyDescent="0.35">
      <c r="A27">
        <f t="shared" si="2"/>
        <v>26</v>
      </c>
      <c r="B27">
        <v>33.72</v>
      </c>
      <c r="C27">
        <v>0</v>
      </c>
      <c r="I27">
        <f t="shared" si="5"/>
        <v>123</v>
      </c>
      <c r="J27">
        <f t="shared" si="3"/>
        <v>25</v>
      </c>
      <c r="K27">
        <f t="shared" si="4"/>
        <v>26</v>
      </c>
      <c r="L27">
        <v>10000</v>
      </c>
      <c r="M27">
        <v>0</v>
      </c>
      <c r="N27">
        <f t="shared" si="6"/>
        <v>38.888888888888886</v>
      </c>
      <c r="P27">
        <f t="shared" si="1"/>
        <v>1.9999999999996021E-2</v>
      </c>
    </row>
    <row r="28" spans="1:16" x14ac:dyDescent="0.35">
      <c r="A28">
        <f t="shared" si="2"/>
        <v>27</v>
      </c>
      <c r="B28">
        <v>33.799999999999997</v>
      </c>
      <c r="C28">
        <v>0</v>
      </c>
      <c r="I28">
        <f t="shared" si="5"/>
        <v>124</v>
      </c>
      <c r="J28">
        <f t="shared" si="3"/>
        <v>26</v>
      </c>
      <c r="K28">
        <f t="shared" si="4"/>
        <v>27</v>
      </c>
      <c r="L28">
        <v>10000</v>
      </c>
      <c r="M28">
        <v>0</v>
      </c>
      <c r="N28">
        <f t="shared" si="6"/>
        <v>38.888888888888886</v>
      </c>
      <c r="P28">
        <f t="shared" si="1"/>
        <v>7.9999999999998295E-2</v>
      </c>
    </row>
    <row r="29" spans="1:16" x14ac:dyDescent="0.35">
      <c r="A29">
        <f t="shared" si="2"/>
        <v>28</v>
      </c>
      <c r="B29">
        <v>34.212000000000003</v>
      </c>
      <c r="C29">
        <v>0</v>
      </c>
      <c r="G29">
        <v>1</v>
      </c>
      <c r="H29">
        <v>-1</v>
      </c>
      <c r="I29">
        <f t="shared" si="5"/>
        <v>125</v>
      </c>
      <c r="J29">
        <f t="shared" si="3"/>
        <v>27</v>
      </c>
      <c r="K29">
        <f t="shared" si="4"/>
        <v>28</v>
      </c>
      <c r="L29">
        <v>10000</v>
      </c>
      <c r="M29">
        <v>0</v>
      </c>
      <c r="N29">
        <f t="shared" si="6"/>
        <v>38.888888888888886</v>
      </c>
      <c r="P29">
        <f t="shared" si="1"/>
        <v>0.41200000000000614</v>
      </c>
    </row>
    <row r="30" spans="1:16" x14ac:dyDescent="0.35">
      <c r="A30">
        <f t="shared" si="2"/>
        <v>29</v>
      </c>
      <c r="B30">
        <v>34.6</v>
      </c>
      <c r="C30">
        <v>0</v>
      </c>
      <c r="G30">
        <v>1</v>
      </c>
      <c r="H30">
        <v>1</v>
      </c>
      <c r="I30">
        <f t="shared" si="5"/>
        <v>126</v>
      </c>
      <c r="J30">
        <f t="shared" si="3"/>
        <v>28</v>
      </c>
      <c r="K30">
        <f t="shared" si="4"/>
        <v>29</v>
      </c>
      <c r="L30">
        <v>10000</v>
      </c>
      <c r="M30">
        <v>0</v>
      </c>
      <c r="N30">
        <f t="shared" si="6"/>
        <v>38.888888888888886</v>
      </c>
      <c r="P30">
        <f t="shared" si="1"/>
        <v>0.38799999999999812</v>
      </c>
    </row>
    <row r="31" spans="1:16" x14ac:dyDescent="0.35">
      <c r="A31">
        <f t="shared" si="2"/>
        <v>30</v>
      </c>
      <c r="B31">
        <v>35.959000000000003</v>
      </c>
      <c r="C31">
        <v>0</v>
      </c>
      <c r="G31">
        <v>1</v>
      </c>
      <c r="H31">
        <v>1</v>
      </c>
      <c r="I31">
        <f t="shared" si="5"/>
        <v>127</v>
      </c>
      <c r="J31">
        <f t="shared" si="3"/>
        <v>29</v>
      </c>
      <c r="K31">
        <f t="shared" si="4"/>
        <v>30</v>
      </c>
      <c r="L31">
        <v>10000</v>
      </c>
      <c r="M31">
        <v>0</v>
      </c>
      <c r="N31">
        <f t="shared" si="6"/>
        <v>38.888888888888886</v>
      </c>
      <c r="P31">
        <f t="shared" si="1"/>
        <v>1.3590000000000018</v>
      </c>
    </row>
    <row r="32" spans="1:16" x14ac:dyDescent="0.35">
      <c r="A32">
        <f t="shared" si="2"/>
        <v>31</v>
      </c>
      <c r="B32">
        <v>36.012</v>
      </c>
      <c r="C32">
        <v>0</v>
      </c>
      <c r="G32">
        <v>1</v>
      </c>
      <c r="H32">
        <v>-1</v>
      </c>
      <c r="I32">
        <f t="shared" si="5"/>
        <v>128</v>
      </c>
      <c r="J32">
        <f t="shared" si="3"/>
        <v>30</v>
      </c>
      <c r="K32">
        <f t="shared" si="4"/>
        <v>31</v>
      </c>
      <c r="L32">
        <v>10000</v>
      </c>
      <c r="M32">
        <v>0</v>
      </c>
      <c r="N32">
        <f t="shared" si="6"/>
        <v>38.888888888888886</v>
      </c>
      <c r="P32">
        <f t="shared" si="1"/>
        <v>5.2999999999997272E-2</v>
      </c>
    </row>
    <row r="33" spans="1:16" x14ac:dyDescent="0.35">
      <c r="A33">
        <f t="shared" si="2"/>
        <v>32</v>
      </c>
      <c r="B33">
        <v>37.146000000000001</v>
      </c>
      <c r="C33">
        <v>0</v>
      </c>
      <c r="D33" t="s">
        <v>32</v>
      </c>
      <c r="I33">
        <f t="shared" si="5"/>
        <v>129</v>
      </c>
      <c r="J33">
        <f t="shared" si="3"/>
        <v>31</v>
      </c>
      <c r="K33">
        <f t="shared" si="4"/>
        <v>32</v>
      </c>
      <c r="L33">
        <v>10000</v>
      </c>
      <c r="M33">
        <v>0</v>
      </c>
      <c r="N33">
        <f t="shared" si="6"/>
        <v>38.888888888888886</v>
      </c>
      <c r="P33">
        <f t="shared" si="1"/>
        <v>1.1340000000000003</v>
      </c>
    </row>
    <row r="34" spans="1:16" x14ac:dyDescent="0.35">
      <c r="A34">
        <f t="shared" si="2"/>
        <v>33</v>
      </c>
      <c r="B34">
        <v>37.594000000000001</v>
      </c>
      <c r="C34">
        <v>0</v>
      </c>
      <c r="G34">
        <v>1</v>
      </c>
      <c r="H34">
        <v>1</v>
      </c>
      <c r="I34">
        <f t="shared" si="5"/>
        <v>130</v>
      </c>
      <c r="J34">
        <f t="shared" si="3"/>
        <v>32</v>
      </c>
      <c r="K34">
        <f t="shared" si="4"/>
        <v>33</v>
      </c>
      <c r="L34">
        <v>10000</v>
      </c>
      <c r="M34">
        <v>0</v>
      </c>
      <c r="N34">
        <f t="shared" si="6"/>
        <v>38.888888888888886</v>
      </c>
      <c r="P34">
        <f t="shared" si="1"/>
        <v>0.4480000000000004</v>
      </c>
    </row>
    <row r="35" spans="1:16" x14ac:dyDescent="0.35">
      <c r="A35">
        <f t="shared" si="2"/>
        <v>34</v>
      </c>
      <c r="B35">
        <v>37.646999999999998</v>
      </c>
      <c r="C35">
        <v>0</v>
      </c>
      <c r="G35">
        <v>1</v>
      </c>
      <c r="H35">
        <v>-1</v>
      </c>
      <c r="I35">
        <f t="shared" si="5"/>
        <v>131</v>
      </c>
      <c r="J35">
        <f t="shared" si="3"/>
        <v>33</v>
      </c>
      <c r="K35">
        <f t="shared" si="4"/>
        <v>34</v>
      </c>
      <c r="L35">
        <v>10000</v>
      </c>
      <c r="M35">
        <v>0</v>
      </c>
      <c r="N35">
        <f t="shared" si="6"/>
        <v>38.888888888888886</v>
      </c>
      <c r="P35">
        <f t="shared" ref="P35:P53" si="7">B35-B34</f>
        <v>5.2999999999997272E-2</v>
      </c>
    </row>
    <row r="36" spans="1:16" x14ac:dyDescent="0.35">
      <c r="A36">
        <f t="shared" si="2"/>
        <v>35</v>
      </c>
      <c r="B36">
        <v>39.338999999999999</v>
      </c>
      <c r="C36">
        <v>0</v>
      </c>
      <c r="G36">
        <v>1</v>
      </c>
      <c r="H36">
        <v>1</v>
      </c>
      <c r="I36">
        <f t="shared" si="5"/>
        <v>132</v>
      </c>
      <c r="J36">
        <f t="shared" si="3"/>
        <v>34</v>
      </c>
      <c r="K36">
        <f t="shared" si="4"/>
        <v>35</v>
      </c>
      <c r="L36">
        <v>10000</v>
      </c>
      <c r="M36">
        <v>0</v>
      </c>
      <c r="N36">
        <f t="shared" si="6"/>
        <v>38.888888888888886</v>
      </c>
      <c r="P36">
        <f t="shared" si="7"/>
        <v>1.6920000000000002</v>
      </c>
    </row>
    <row r="37" spans="1:16" x14ac:dyDescent="0.35">
      <c r="A37">
        <f t="shared" si="2"/>
        <v>36</v>
      </c>
      <c r="B37">
        <v>39.392000000000003</v>
      </c>
      <c r="C37">
        <v>0</v>
      </c>
      <c r="G37">
        <v>1</v>
      </c>
      <c r="H37">
        <v>-1</v>
      </c>
      <c r="I37">
        <f t="shared" si="5"/>
        <v>133</v>
      </c>
      <c r="J37">
        <f t="shared" si="3"/>
        <v>35</v>
      </c>
      <c r="K37">
        <f t="shared" si="4"/>
        <v>36</v>
      </c>
      <c r="L37">
        <v>10000</v>
      </c>
      <c r="M37">
        <v>0</v>
      </c>
      <c r="N37">
        <f t="shared" si="6"/>
        <v>38.888888888888886</v>
      </c>
      <c r="P37">
        <f t="shared" si="7"/>
        <v>5.3000000000004377E-2</v>
      </c>
    </row>
    <row r="38" spans="1:16" x14ac:dyDescent="0.35">
      <c r="A38">
        <f t="shared" si="2"/>
        <v>37</v>
      </c>
      <c r="B38">
        <v>41.168999999999997</v>
      </c>
      <c r="C38">
        <v>0</v>
      </c>
      <c r="G38">
        <v>1</v>
      </c>
      <c r="H38">
        <v>1</v>
      </c>
      <c r="I38">
        <f t="shared" si="5"/>
        <v>134</v>
      </c>
      <c r="J38">
        <f t="shared" si="3"/>
        <v>36</v>
      </c>
      <c r="K38">
        <f t="shared" si="4"/>
        <v>37</v>
      </c>
      <c r="L38">
        <v>10000</v>
      </c>
      <c r="M38">
        <v>0</v>
      </c>
      <c r="N38">
        <f t="shared" si="6"/>
        <v>38.888888888888886</v>
      </c>
      <c r="P38">
        <f t="shared" si="7"/>
        <v>1.7769999999999939</v>
      </c>
    </row>
    <row r="39" spans="1:16" x14ac:dyDescent="0.35">
      <c r="A39">
        <f t="shared" si="2"/>
        <v>38</v>
      </c>
      <c r="B39">
        <v>41.222000000000001</v>
      </c>
      <c r="C39">
        <v>0</v>
      </c>
      <c r="G39">
        <v>1</v>
      </c>
      <c r="H39">
        <v>-1</v>
      </c>
      <c r="I39">
        <f t="shared" si="5"/>
        <v>135</v>
      </c>
      <c r="J39">
        <f t="shared" si="3"/>
        <v>37</v>
      </c>
      <c r="K39">
        <f t="shared" si="4"/>
        <v>38</v>
      </c>
      <c r="L39">
        <v>10000</v>
      </c>
      <c r="M39">
        <v>0</v>
      </c>
      <c r="N39">
        <f t="shared" si="6"/>
        <v>38.888888888888886</v>
      </c>
      <c r="P39">
        <f t="shared" si="7"/>
        <v>5.3000000000004377E-2</v>
      </c>
    </row>
    <row r="40" spans="1:16" x14ac:dyDescent="0.35">
      <c r="A40">
        <f t="shared" si="2"/>
        <v>39</v>
      </c>
      <c r="B40">
        <v>42.116999999999997</v>
      </c>
      <c r="C40">
        <v>0</v>
      </c>
      <c r="D40" t="s">
        <v>33</v>
      </c>
      <c r="I40">
        <f t="shared" si="5"/>
        <v>136</v>
      </c>
      <c r="J40">
        <f t="shared" si="3"/>
        <v>38</v>
      </c>
      <c r="K40">
        <f t="shared" si="4"/>
        <v>39</v>
      </c>
      <c r="L40">
        <v>10000</v>
      </c>
      <c r="M40">
        <v>0</v>
      </c>
      <c r="N40">
        <f t="shared" si="6"/>
        <v>38.888888888888886</v>
      </c>
      <c r="P40">
        <f t="shared" si="7"/>
        <v>0.89499999999999602</v>
      </c>
    </row>
    <row r="41" spans="1:16" x14ac:dyDescent="0.35">
      <c r="A41">
        <f t="shared" si="2"/>
        <v>40</v>
      </c>
      <c r="B41">
        <v>42.746000000000002</v>
      </c>
      <c r="C41">
        <v>0</v>
      </c>
      <c r="G41">
        <v>1</v>
      </c>
      <c r="H41">
        <v>-1</v>
      </c>
      <c r="I41">
        <f t="shared" si="5"/>
        <v>137</v>
      </c>
      <c r="J41">
        <f t="shared" si="3"/>
        <v>39</v>
      </c>
      <c r="K41">
        <f t="shared" si="4"/>
        <v>40</v>
      </c>
      <c r="L41">
        <v>10000</v>
      </c>
      <c r="M41">
        <v>0</v>
      </c>
      <c r="N41">
        <f t="shared" si="6"/>
        <v>38.888888888888886</v>
      </c>
      <c r="P41">
        <f t="shared" si="7"/>
        <v>0.62900000000000489</v>
      </c>
    </row>
    <row r="42" spans="1:16" x14ac:dyDescent="0.35">
      <c r="A42">
        <f t="shared" si="2"/>
        <v>41</v>
      </c>
      <c r="B42">
        <v>43.024000000000001</v>
      </c>
      <c r="C42">
        <v>0</v>
      </c>
      <c r="G42">
        <v>1</v>
      </c>
      <c r="H42">
        <v>1</v>
      </c>
      <c r="I42">
        <f t="shared" si="5"/>
        <v>138</v>
      </c>
      <c r="J42">
        <f t="shared" si="3"/>
        <v>40</v>
      </c>
      <c r="K42">
        <f t="shared" si="4"/>
        <v>41</v>
      </c>
      <c r="L42">
        <v>10000</v>
      </c>
      <c r="M42">
        <v>0</v>
      </c>
      <c r="N42">
        <f t="shared" si="6"/>
        <v>38.888888888888886</v>
      </c>
      <c r="P42">
        <f t="shared" si="7"/>
        <v>0.27799999999999869</v>
      </c>
    </row>
    <row r="43" spans="1:16" x14ac:dyDescent="0.35">
      <c r="A43">
        <f t="shared" si="2"/>
        <v>42</v>
      </c>
      <c r="B43">
        <v>44.122</v>
      </c>
      <c r="C43">
        <v>0</v>
      </c>
      <c r="G43">
        <v>1</v>
      </c>
      <c r="H43">
        <v>-1</v>
      </c>
      <c r="I43">
        <f t="shared" si="5"/>
        <v>139</v>
      </c>
      <c r="J43">
        <f t="shared" si="3"/>
        <v>41</v>
      </c>
      <c r="K43">
        <f t="shared" si="4"/>
        <v>42</v>
      </c>
      <c r="L43">
        <v>10000</v>
      </c>
      <c r="M43">
        <v>0</v>
      </c>
      <c r="N43">
        <f t="shared" si="6"/>
        <v>38.888888888888886</v>
      </c>
      <c r="P43">
        <f t="shared" si="7"/>
        <v>1.097999999999999</v>
      </c>
    </row>
    <row r="44" spans="1:16" x14ac:dyDescent="0.35">
      <c r="A44">
        <f t="shared" si="2"/>
        <v>43</v>
      </c>
      <c r="B44">
        <v>44.497</v>
      </c>
      <c r="C44">
        <v>0</v>
      </c>
      <c r="G44">
        <v>1</v>
      </c>
      <c r="H44">
        <v>1</v>
      </c>
      <c r="I44">
        <f t="shared" si="5"/>
        <v>140</v>
      </c>
      <c r="J44">
        <f t="shared" si="3"/>
        <v>42</v>
      </c>
      <c r="K44">
        <f t="shared" si="4"/>
        <v>43</v>
      </c>
      <c r="L44">
        <v>10000</v>
      </c>
      <c r="M44">
        <v>0</v>
      </c>
      <c r="N44">
        <f t="shared" si="6"/>
        <v>38.888888888888886</v>
      </c>
      <c r="P44">
        <f t="shared" si="7"/>
        <v>0.375</v>
      </c>
    </row>
    <row r="45" spans="1:16" x14ac:dyDescent="0.35">
      <c r="A45">
        <f t="shared" si="2"/>
        <v>44</v>
      </c>
      <c r="B45">
        <v>44.831000000000003</v>
      </c>
      <c r="C45">
        <v>0</v>
      </c>
      <c r="I45">
        <f t="shared" si="5"/>
        <v>141</v>
      </c>
      <c r="J45">
        <f t="shared" si="3"/>
        <v>43</v>
      </c>
      <c r="K45">
        <f t="shared" si="4"/>
        <v>44</v>
      </c>
      <c r="L45">
        <v>10000</v>
      </c>
      <c r="M45">
        <v>0</v>
      </c>
      <c r="N45">
        <f t="shared" si="6"/>
        <v>38.888888888888886</v>
      </c>
      <c r="P45">
        <f t="shared" si="7"/>
        <v>0.33400000000000318</v>
      </c>
    </row>
    <row r="46" spans="1:16" x14ac:dyDescent="0.35">
      <c r="A46">
        <f t="shared" si="2"/>
        <v>45</v>
      </c>
      <c r="B46">
        <v>44.91</v>
      </c>
      <c r="C46">
        <v>0</v>
      </c>
      <c r="F46">
        <v>1</v>
      </c>
      <c r="I46">
        <f t="shared" si="5"/>
        <v>142</v>
      </c>
      <c r="J46">
        <f t="shared" si="3"/>
        <v>44</v>
      </c>
      <c r="K46">
        <f t="shared" si="4"/>
        <v>45</v>
      </c>
      <c r="L46">
        <v>10000</v>
      </c>
      <c r="M46">
        <v>0</v>
      </c>
      <c r="N46">
        <f t="shared" si="6"/>
        <v>38.888888888888886</v>
      </c>
      <c r="P46">
        <f t="shared" si="7"/>
        <v>7.899999999999352E-2</v>
      </c>
    </row>
    <row r="47" spans="1:16" x14ac:dyDescent="0.35">
      <c r="A47">
        <f t="shared" si="2"/>
        <v>46</v>
      </c>
      <c r="B47">
        <v>44.96</v>
      </c>
      <c r="C47">
        <v>0</v>
      </c>
      <c r="I47">
        <f t="shared" si="5"/>
        <v>143</v>
      </c>
      <c r="J47">
        <f t="shared" si="3"/>
        <v>45</v>
      </c>
      <c r="K47">
        <f t="shared" si="4"/>
        <v>46</v>
      </c>
      <c r="L47">
        <v>10000</v>
      </c>
      <c r="M47">
        <v>0</v>
      </c>
      <c r="N47">
        <f t="shared" si="6"/>
        <v>38.888888888888886</v>
      </c>
      <c r="P47">
        <f t="shared" si="7"/>
        <v>5.0000000000004263E-2</v>
      </c>
    </row>
    <row r="48" spans="1:16" x14ac:dyDescent="0.35">
      <c r="A48">
        <f t="shared" si="2"/>
        <v>47</v>
      </c>
      <c r="B48">
        <v>45.04</v>
      </c>
      <c r="C48">
        <v>0</v>
      </c>
      <c r="I48">
        <f t="shared" si="5"/>
        <v>144</v>
      </c>
      <c r="J48">
        <f t="shared" si="3"/>
        <v>46</v>
      </c>
      <c r="K48">
        <f t="shared" si="4"/>
        <v>47</v>
      </c>
      <c r="L48">
        <v>10000</v>
      </c>
      <c r="M48">
        <v>0</v>
      </c>
      <c r="N48">
        <f t="shared" si="6"/>
        <v>38.888888888888886</v>
      </c>
      <c r="P48">
        <f t="shared" si="7"/>
        <v>7.9999999999998295E-2</v>
      </c>
    </row>
    <row r="49" spans="1:16" x14ac:dyDescent="0.35">
      <c r="A49">
        <f t="shared" si="2"/>
        <v>48</v>
      </c>
      <c r="B49">
        <v>45.27</v>
      </c>
      <c r="C49">
        <v>0</v>
      </c>
      <c r="F49">
        <v>1</v>
      </c>
      <c r="I49">
        <f t="shared" si="5"/>
        <v>145</v>
      </c>
      <c r="J49">
        <f t="shared" si="3"/>
        <v>47</v>
      </c>
      <c r="K49">
        <f t="shared" si="4"/>
        <v>48</v>
      </c>
      <c r="L49">
        <v>10000</v>
      </c>
      <c r="M49">
        <v>0</v>
      </c>
      <c r="N49">
        <f t="shared" si="6"/>
        <v>38.888888888888886</v>
      </c>
      <c r="P49">
        <f t="shared" si="7"/>
        <v>0.23000000000000398</v>
      </c>
    </row>
    <row r="50" spans="1:16" x14ac:dyDescent="0.35">
      <c r="A50">
        <f t="shared" si="2"/>
        <v>49</v>
      </c>
      <c r="B50">
        <v>45.350999999999999</v>
      </c>
      <c r="C50">
        <v>0</v>
      </c>
      <c r="G50">
        <v>1</v>
      </c>
      <c r="H50">
        <v>-1</v>
      </c>
      <c r="I50">
        <f t="shared" si="5"/>
        <v>146</v>
      </c>
      <c r="J50">
        <f t="shared" si="3"/>
        <v>48</v>
      </c>
      <c r="K50">
        <f t="shared" si="4"/>
        <v>49</v>
      </c>
      <c r="L50">
        <v>10000</v>
      </c>
      <c r="M50">
        <v>0</v>
      </c>
      <c r="N50">
        <f t="shared" si="6"/>
        <v>38.888888888888886</v>
      </c>
      <c r="P50">
        <f t="shared" si="7"/>
        <v>8.0999999999995964E-2</v>
      </c>
    </row>
    <row r="51" spans="1:16" x14ac:dyDescent="0.35">
      <c r="A51">
        <f t="shared" si="2"/>
        <v>50</v>
      </c>
      <c r="B51">
        <v>45.9</v>
      </c>
      <c r="C51">
        <v>0</v>
      </c>
      <c r="I51">
        <f t="shared" si="5"/>
        <v>147</v>
      </c>
      <c r="J51">
        <f t="shared" si="3"/>
        <v>49</v>
      </c>
      <c r="K51">
        <f t="shared" si="4"/>
        <v>50</v>
      </c>
      <c r="L51">
        <v>10000</v>
      </c>
      <c r="M51">
        <v>0</v>
      </c>
      <c r="N51">
        <f t="shared" si="6"/>
        <v>38.888888888888886</v>
      </c>
      <c r="P51">
        <f t="shared" si="7"/>
        <v>0.54899999999999949</v>
      </c>
    </row>
    <row r="52" spans="1:16" x14ac:dyDescent="0.35">
      <c r="A52">
        <f t="shared" si="2"/>
        <v>51</v>
      </c>
      <c r="B52">
        <v>45.942999999999998</v>
      </c>
      <c r="C52">
        <v>0</v>
      </c>
      <c r="I52">
        <f t="shared" si="5"/>
        <v>148</v>
      </c>
      <c r="J52">
        <f t="shared" si="3"/>
        <v>50</v>
      </c>
      <c r="K52">
        <f t="shared" si="4"/>
        <v>51</v>
      </c>
      <c r="L52">
        <v>10000</v>
      </c>
      <c r="M52">
        <v>0</v>
      </c>
      <c r="N52">
        <f t="shared" si="6"/>
        <v>38.888888888888886</v>
      </c>
      <c r="P52">
        <f t="shared" si="7"/>
        <v>4.2999999999999261E-2</v>
      </c>
    </row>
    <row r="53" spans="1:16" x14ac:dyDescent="0.35">
      <c r="A53">
        <f t="shared" si="2"/>
        <v>52</v>
      </c>
      <c r="B53">
        <v>45.95</v>
      </c>
      <c r="C53">
        <v>0</v>
      </c>
      <c r="I53">
        <f t="shared" si="5"/>
        <v>149</v>
      </c>
      <c r="J53">
        <f t="shared" si="3"/>
        <v>51</v>
      </c>
      <c r="K53">
        <f t="shared" ref="K53" si="8">A53</f>
        <v>52</v>
      </c>
      <c r="L53">
        <v>10000</v>
      </c>
      <c r="M53">
        <v>0</v>
      </c>
      <c r="N53">
        <f t="shared" si="6"/>
        <v>38.888888888888886</v>
      </c>
      <c r="P53">
        <f t="shared" si="7"/>
        <v>7.0000000000050022E-3</v>
      </c>
    </row>
    <row r="54" spans="1:16" x14ac:dyDescent="0.35">
      <c r="A54">
        <f t="shared" si="2"/>
        <v>53</v>
      </c>
      <c r="B54">
        <v>46.052</v>
      </c>
      <c r="C54">
        <v>0</v>
      </c>
      <c r="D54" t="s">
        <v>34</v>
      </c>
      <c r="I54">
        <f>I52+1</f>
        <v>149</v>
      </c>
      <c r="J54">
        <f>J52+1</f>
        <v>51</v>
      </c>
      <c r="K54">
        <f t="shared" si="4"/>
        <v>53</v>
      </c>
      <c r="L54">
        <v>10000</v>
      </c>
      <c r="M54">
        <v>0</v>
      </c>
      <c r="N54">
        <f t="shared" si="6"/>
        <v>38.888888888888886</v>
      </c>
      <c r="P54">
        <f>B54-B52</f>
        <v>0.10900000000000176</v>
      </c>
    </row>
    <row r="55" spans="1:16" x14ac:dyDescent="0.35">
      <c r="A55">
        <f t="shared" si="2"/>
        <v>54</v>
      </c>
      <c r="B55">
        <v>46.097000000000001</v>
      </c>
      <c r="C55">
        <v>0</v>
      </c>
      <c r="G55">
        <v>1</v>
      </c>
      <c r="H55">
        <v>1</v>
      </c>
      <c r="I55">
        <f t="shared" si="5"/>
        <v>150</v>
      </c>
      <c r="J55">
        <f t="shared" si="3"/>
        <v>52</v>
      </c>
      <c r="K55">
        <f t="shared" si="4"/>
        <v>54</v>
      </c>
      <c r="L55">
        <v>10000</v>
      </c>
      <c r="M55">
        <v>0</v>
      </c>
      <c r="N55">
        <f t="shared" si="6"/>
        <v>38.888888888888886</v>
      </c>
      <c r="P55">
        <f t="shared" ref="P55:P86" si="9">B55-B54</f>
        <v>4.5000000000001705E-2</v>
      </c>
    </row>
    <row r="56" spans="1:16" x14ac:dyDescent="0.35">
      <c r="A56">
        <f t="shared" si="2"/>
        <v>55</v>
      </c>
      <c r="B56">
        <v>46.218000000000004</v>
      </c>
      <c r="C56">
        <v>0</v>
      </c>
      <c r="I56">
        <f t="shared" si="5"/>
        <v>151</v>
      </c>
      <c r="J56">
        <f t="shared" si="3"/>
        <v>53</v>
      </c>
      <c r="K56">
        <f t="shared" si="4"/>
        <v>55</v>
      </c>
      <c r="L56">
        <v>10000</v>
      </c>
      <c r="M56">
        <v>0</v>
      </c>
      <c r="N56">
        <f t="shared" si="6"/>
        <v>38.888888888888886</v>
      </c>
      <c r="P56">
        <f t="shared" si="9"/>
        <v>0.12100000000000222</v>
      </c>
    </row>
    <row r="57" spans="1:16" x14ac:dyDescent="0.35">
      <c r="A57">
        <f t="shared" si="2"/>
        <v>56</v>
      </c>
      <c r="B57">
        <v>46.28</v>
      </c>
      <c r="C57">
        <v>0</v>
      </c>
      <c r="I57">
        <f t="shared" si="5"/>
        <v>152</v>
      </c>
      <c r="J57">
        <f t="shared" si="3"/>
        <v>54</v>
      </c>
      <c r="K57">
        <f t="shared" si="4"/>
        <v>56</v>
      </c>
      <c r="L57">
        <v>10000</v>
      </c>
      <c r="M57">
        <v>0</v>
      </c>
      <c r="N57">
        <f t="shared" si="6"/>
        <v>38.888888888888886</v>
      </c>
      <c r="P57">
        <f t="shared" si="9"/>
        <v>6.1999999999997613E-2</v>
      </c>
    </row>
    <row r="58" spans="1:16" x14ac:dyDescent="0.35">
      <c r="A58">
        <f t="shared" si="2"/>
        <v>57</v>
      </c>
      <c r="B58">
        <v>46.36</v>
      </c>
      <c r="C58">
        <v>0</v>
      </c>
      <c r="F58">
        <v>1</v>
      </c>
      <c r="I58">
        <f t="shared" si="5"/>
        <v>153</v>
      </c>
      <c r="J58">
        <f t="shared" si="3"/>
        <v>55</v>
      </c>
      <c r="K58">
        <f t="shared" si="4"/>
        <v>57</v>
      </c>
      <c r="L58">
        <v>10000</v>
      </c>
      <c r="M58">
        <v>0</v>
      </c>
      <c r="N58">
        <f t="shared" si="6"/>
        <v>38.888888888888886</v>
      </c>
      <c r="P58">
        <f t="shared" si="9"/>
        <v>7.9999999999998295E-2</v>
      </c>
    </row>
    <row r="59" spans="1:16" x14ac:dyDescent="0.35">
      <c r="A59">
        <f t="shared" si="2"/>
        <v>58</v>
      </c>
      <c r="B59">
        <v>46.444000000000003</v>
      </c>
      <c r="C59">
        <v>0</v>
      </c>
      <c r="I59">
        <f t="shared" si="5"/>
        <v>154</v>
      </c>
      <c r="J59">
        <f t="shared" si="3"/>
        <v>56</v>
      </c>
      <c r="K59">
        <f t="shared" si="4"/>
        <v>58</v>
      </c>
      <c r="L59">
        <v>10000</v>
      </c>
      <c r="M59">
        <v>0</v>
      </c>
      <c r="N59">
        <f t="shared" si="6"/>
        <v>38.888888888888886</v>
      </c>
      <c r="P59">
        <f t="shared" si="9"/>
        <v>8.4000000000003183E-2</v>
      </c>
    </row>
    <row r="60" spans="1:16" x14ac:dyDescent="0.35">
      <c r="A60">
        <f t="shared" si="2"/>
        <v>59</v>
      </c>
      <c r="B60">
        <v>46.847000000000001</v>
      </c>
      <c r="C60">
        <v>0</v>
      </c>
      <c r="G60">
        <v>1</v>
      </c>
      <c r="H60">
        <v>-1</v>
      </c>
      <c r="I60">
        <f t="shared" si="5"/>
        <v>155</v>
      </c>
      <c r="J60">
        <f t="shared" si="3"/>
        <v>57</v>
      </c>
      <c r="K60">
        <f t="shared" si="4"/>
        <v>59</v>
      </c>
      <c r="L60">
        <v>10000</v>
      </c>
      <c r="M60">
        <v>0</v>
      </c>
      <c r="N60">
        <f t="shared" si="6"/>
        <v>38.888888888888886</v>
      </c>
      <c r="P60">
        <f t="shared" si="9"/>
        <v>0.40299999999999869</v>
      </c>
    </row>
    <row r="61" spans="1:16" x14ac:dyDescent="0.35">
      <c r="A61">
        <f t="shared" si="2"/>
        <v>60</v>
      </c>
      <c r="B61">
        <v>47.494999999999997</v>
      </c>
      <c r="C61">
        <v>0</v>
      </c>
      <c r="G61">
        <v>1</v>
      </c>
      <c r="H61">
        <v>-1</v>
      </c>
      <c r="I61">
        <f t="shared" si="5"/>
        <v>156</v>
      </c>
      <c r="J61">
        <f t="shared" si="3"/>
        <v>58</v>
      </c>
      <c r="K61">
        <f t="shared" si="4"/>
        <v>60</v>
      </c>
      <c r="L61">
        <v>10000</v>
      </c>
      <c r="M61">
        <v>0</v>
      </c>
      <c r="N61">
        <f t="shared" si="6"/>
        <v>38.888888888888886</v>
      </c>
      <c r="P61">
        <f t="shared" si="9"/>
        <v>0.64799999999999613</v>
      </c>
    </row>
    <row r="62" spans="1:16" x14ac:dyDescent="0.35">
      <c r="A62">
        <f t="shared" si="2"/>
        <v>61</v>
      </c>
      <c r="B62">
        <v>48.4</v>
      </c>
      <c r="C62">
        <v>0</v>
      </c>
      <c r="G62">
        <v>1</v>
      </c>
      <c r="H62">
        <v>-1</v>
      </c>
      <c r="I62">
        <f t="shared" si="5"/>
        <v>157</v>
      </c>
      <c r="J62">
        <f t="shared" si="3"/>
        <v>59</v>
      </c>
      <c r="K62">
        <f t="shared" si="4"/>
        <v>61</v>
      </c>
      <c r="L62">
        <v>10000</v>
      </c>
      <c r="M62">
        <v>0</v>
      </c>
      <c r="N62">
        <f t="shared" si="6"/>
        <v>38.888888888888886</v>
      </c>
      <c r="P62">
        <f t="shared" si="9"/>
        <v>0.90500000000000114</v>
      </c>
    </row>
    <row r="63" spans="1:16" x14ac:dyDescent="0.35">
      <c r="A63">
        <f t="shared" si="2"/>
        <v>62</v>
      </c>
      <c r="B63">
        <v>49.08</v>
      </c>
      <c r="C63">
        <v>0</v>
      </c>
      <c r="G63">
        <v>1</v>
      </c>
      <c r="H63">
        <v>-1</v>
      </c>
      <c r="I63">
        <f t="shared" si="5"/>
        <v>158</v>
      </c>
      <c r="J63">
        <f t="shared" si="3"/>
        <v>60</v>
      </c>
      <c r="K63">
        <f t="shared" si="4"/>
        <v>62</v>
      </c>
      <c r="L63">
        <v>10000</v>
      </c>
      <c r="M63">
        <v>0</v>
      </c>
      <c r="N63">
        <f t="shared" si="6"/>
        <v>38.888888888888886</v>
      </c>
      <c r="P63">
        <f t="shared" si="9"/>
        <v>0.67999999999999972</v>
      </c>
    </row>
    <row r="64" spans="1:16" x14ac:dyDescent="0.35">
      <c r="A64">
        <f t="shared" si="2"/>
        <v>63</v>
      </c>
      <c r="B64">
        <v>50</v>
      </c>
      <c r="C64">
        <v>0</v>
      </c>
      <c r="I64">
        <f t="shared" si="5"/>
        <v>159</v>
      </c>
      <c r="J64">
        <f t="shared" si="3"/>
        <v>61</v>
      </c>
      <c r="K64">
        <f t="shared" si="4"/>
        <v>63</v>
      </c>
      <c r="L64">
        <v>10000</v>
      </c>
      <c r="M64">
        <v>0</v>
      </c>
      <c r="N64">
        <f t="shared" si="6"/>
        <v>38.888888888888886</v>
      </c>
      <c r="P64">
        <f t="shared" si="9"/>
        <v>0.92000000000000171</v>
      </c>
    </row>
    <row r="65" spans="1:16" x14ac:dyDescent="0.35">
      <c r="A65">
        <f t="shared" si="2"/>
        <v>64</v>
      </c>
      <c r="B65">
        <v>50.656999999999996</v>
      </c>
      <c r="C65">
        <v>0</v>
      </c>
      <c r="G65">
        <v>1</v>
      </c>
      <c r="H65">
        <v>-1</v>
      </c>
      <c r="I65">
        <f t="shared" si="5"/>
        <v>160</v>
      </c>
      <c r="J65">
        <f t="shared" si="3"/>
        <v>62</v>
      </c>
      <c r="K65">
        <f t="shared" si="4"/>
        <v>64</v>
      </c>
      <c r="L65">
        <v>10000</v>
      </c>
      <c r="M65">
        <v>0</v>
      </c>
      <c r="N65">
        <f t="shared" si="6"/>
        <v>38.888888888888886</v>
      </c>
      <c r="P65">
        <f t="shared" si="9"/>
        <v>0.65699999999999648</v>
      </c>
    </row>
    <row r="66" spans="1:16" x14ac:dyDescent="0.35">
      <c r="A66">
        <f t="shared" si="2"/>
        <v>65</v>
      </c>
      <c r="B66">
        <v>51.427999999999997</v>
      </c>
      <c r="C66">
        <v>0</v>
      </c>
      <c r="I66">
        <f t="shared" si="5"/>
        <v>161</v>
      </c>
      <c r="J66">
        <f t="shared" si="3"/>
        <v>63</v>
      </c>
      <c r="K66">
        <f t="shared" si="4"/>
        <v>65</v>
      </c>
      <c r="L66">
        <v>10000</v>
      </c>
      <c r="M66">
        <v>0</v>
      </c>
      <c r="N66">
        <f t="shared" si="6"/>
        <v>38.888888888888886</v>
      </c>
      <c r="P66">
        <f t="shared" si="9"/>
        <v>0.7710000000000008</v>
      </c>
    </row>
    <row r="67" spans="1:16" x14ac:dyDescent="0.35">
      <c r="A67">
        <f t="shared" si="2"/>
        <v>66</v>
      </c>
      <c r="B67">
        <v>52.033000000000001</v>
      </c>
      <c r="C67">
        <v>0</v>
      </c>
      <c r="G67">
        <v>1</v>
      </c>
      <c r="H67">
        <v>-1</v>
      </c>
      <c r="I67">
        <f t="shared" si="5"/>
        <v>162</v>
      </c>
      <c r="J67">
        <f t="shared" si="3"/>
        <v>64</v>
      </c>
      <c r="K67">
        <f t="shared" si="4"/>
        <v>66</v>
      </c>
      <c r="L67">
        <v>10000</v>
      </c>
      <c r="M67">
        <v>0</v>
      </c>
      <c r="N67">
        <f t="shared" si="6"/>
        <v>38.888888888888886</v>
      </c>
      <c r="P67">
        <f t="shared" si="9"/>
        <v>0.60500000000000398</v>
      </c>
    </row>
    <row r="68" spans="1:16" x14ac:dyDescent="0.35">
      <c r="A68">
        <f t="shared" si="2"/>
        <v>67</v>
      </c>
      <c r="B68">
        <v>52.787999999999997</v>
      </c>
      <c r="C68">
        <v>0</v>
      </c>
      <c r="I68">
        <f t="shared" si="5"/>
        <v>163</v>
      </c>
      <c r="J68">
        <f t="shared" si="3"/>
        <v>65</v>
      </c>
      <c r="K68">
        <f t="shared" si="4"/>
        <v>67</v>
      </c>
      <c r="L68">
        <v>10000</v>
      </c>
      <c r="M68">
        <v>0</v>
      </c>
      <c r="N68">
        <f t="shared" si="6"/>
        <v>38.888888888888886</v>
      </c>
      <c r="P68">
        <f t="shared" si="9"/>
        <v>0.75499999999999545</v>
      </c>
    </row>
    <row r="69" spans="1:16" x14ac:dyDescent="0.35">
      <c r="A69">
        <f t="shared" ref="A69:A132" si="10">A68+1</f>
        <v>68</v>
      </c>
      <c r="B69">
        <v>53.018000000000001</v>
      </c>
      <c r="C69">
        <v>0</v>
      </c>
      <c r="D69" t="s">
        <v>35</v>
      </c>
      <c r="I69">
        <f t="shared" si="5"/>
        <v>164</v>
      </c>
      <c r="J69">
        <f t="shared" si="3"/>
        <v>66</v>
      </c>
      <c r="K69">
        <f t="shared" si="4"/>
        <v>68</v>
      </c>
      <c r="L69">
        <v>10000</v>
      </c>
      <c r="M69">
        <v>0</v>
      </c>
      <c r="N69">
        <f t="shared" si="6"/>
        <v>38.888888888888886</v>
      </c>
      <c r="P69">
        <f t="shared" si="9"/>
        <v>0.23000000000000398</v>
      </c>
    </row>
    <row r="70" spans="1:16" x14ac:dyDescent="0.35">
      <c r="A70">
        <f t="shared" si="10"/>
        <v>69</v>
      </c>
      <c r="B70">
        <v>53.112000000000002</v>
      </c>
      <c r="C70">
        <v>0</v>
      </c>
      <c r="G70">
        <v>1</v>
      </c>
      <c r="H70">
        <v>-1</v>
      </c>
      <c r="I70">
        <f t="shared" si="5"/>
        <v>165</v>
      </c>
      <c r="J70">
        <f t="shared" si="5"/>
        <v>67</v>
      </c>
      <c r="K70">
        <f t="shared" ref="K70:K99" si="11">A70</f>
        <v>69</v>
      </c>
      <c r="L70">
        <v>10000</v>
      </c>
      <c r="M70">
        <v>0</v>
      </c>
      <c r="N70">
        <f t="shared" si="6"/>
        <v>38.888888888888886</v>
      </c>
      <c r="P70">
        <f t="shared" si="9"/>
        <v>9.4000000000001194E-2</v>
      </c>
    </row>
    <row r="71" spans="1:16" x14ac:dyDescent="0.35">
      <c r="A71">
        <f t="shared" si="10"/>
        <v>70</v>
      </c>
      <c r="B71">
        <v>53.744999999999997</v>
      </c>
      <c r="C71">
        <v>0</v>
      </c>
      <c r="I71">
        <f t="shared" ref="I71:J100" si="12">I70+1</f>
        <v>166</v>
      </c>
      <c r="J71">
        <f t="shared" si="12"/>
        <v>68</v>
      </c>
      <c r="K71">
        <f t="shared" si="11"/>
        <v>70</v>
      </c>
      <c r="L71">
        <v>10000</v>
      </c>
      <c r="M71">
        <v>0</v>
      </c>
      <c r="N71">
        <f t="shared" si="6"/>
        <v>38.888888888888886</v>
      </c>
      <c r="P71">
        <f t="shared" si="9"/>
        <v>0.63299999999999557</v>
      </c>
    </row>
    <row r="72" spans="1:16" x14ac:dyDescent="0.35">
      <c r="A72">
        <f t="shared" si="10"/>
        <v>71</v>
      </c>
      <c r="B72">
        <v>54.484999999999999</v>
      </c>
      <c r="C72">
        <v>0</v>
      </c>
      <c r="G72">
        <v>1</v>
      </c>
      <c r="H72">
        <v>-1</v>
      </c>
      <c r="I72">
        <f t="shared" si="12"/>
        <v>167</v>
      </c>
      <c r="J72">
        <f t="shared" si="12"/>
        <v>69</v>
      </c>
      <c r="K72">
        <f t="shared" si="11"/>
        <v>71</v>
      </c>
      <c r="L72">
        <v>10000</v>
      </c>
      <c r="M72">
        <v>0</v>
      </c>
      <c r="N72">
        <f t="shared" si="6"/>
        <v>38.888888888888886</v>
      </c>
      <c r="P72">
        <f t="shared" si="9"/>
        <v>0.74000000000000199</v>
      </c>
    </row>
    <row r="73" spans="1:16" x14ac:dyDescent="0.35">
      <c r="A73">
        <f t="shared" si="10"/>
        <v>72</v>
      </c>
      <c r="B73">
        <v>55.15</v>
      </c>
      <c r="C73">
        <v>0</v>
      </c>
      <c r="I73">
        <f t="shared" si="12"/>
        <v>168</v>
      </c>
      <c r="J73">
        <f t="shared" si="12"/>
        <v>70</v>
      </c>
      <c r="K73">
        <f t="shared" si="11"/>
        <v>72</v>
      </c>
      <c r="L73">
        <v>10000</v>
      </c>
      <c r="M73">
        <v>0</v>
      </c>
      <c r="N73">
        <f t="shared" si="6"/>
        <v>38.888888888888886</v>
      </c>
      <c r="P73">
        <f t="shared" si="9"/>
        <v>0.66499999999999915</v>
      </c>
    </row>
    <row r="74" spans="1:16" x14ac:dyDescent="0.35">
      <c r="A74">
        <f t="shared" si="10"/>
        <v>73</v>
      </c>
      <c r="B74">
        <v>55.9</v>
      </c>
      <c r="C74">
        <v>0</v>
      </c>
      <c r="G74">
        <v>1</v>
      </c>
      <c r="H74">
        <v>-1</v>
      </c>
      <c r="I74">
        <f t="shared" si="12"/>
        <v>169</v>
      </c>
      <c r="J74">
        <f t="shared" si="12"/>
        <v>71</v>
      </c>
      <c r="K74">
        <f t="shared" si="11"/>
        <v>73</v>
      </c>
      <c r="L74">
        <v>10000</v>
      </c>
      <c r="M74">
        <v>0</v>
      </c>
      <c r="N74">
        <f t="shared" si="6"/>
        <v>38.888888888888886</v>
      </c>
      <c r="P74">
        <f t="shared" si="9"/>
        <v>0.75</v>
      </c>
    </row>
    <row r="75" spans="1:16" x14ac:dyDescent="0.35">
      <c r="A75">
        <f t="shared" si="10"/>
        <v>74</v>
      </c>
      <c r="B75">
        <v>56.6</v>
      </c>
      <c r="C75">
        <v>0</v>
      </c>
      <c r="I75">
        <f t="shared" si="12"/>
        <v>170</v>
      </c>
      <c r="J75">
        <f t="shared" si="12"/>
        <v>72</v>
      </c>
      <c r="K75">
        <f t="shared" si="11"/>
        <v>74</v>
      </c>
      <c r="L75">
        <v>10000</v>
      </c>
      <c r="M75">
        <v>0</v>
      </c>
      <c r="N75">
        <f t="shared" si="6"/>
        <v>38.888888888888886</v>
      </c>
      <c r="P75">
        <f t="shared" si="9"/>
        <v>0.70000000000000284</v>
      </c>
    </row>
    <row r="76" spans="1:16" x14ac:dyDescent="0.35">
      <c r="A76">
        <f t="shared" si="10"/>
        <v>75</v>
      </c>
      <c r="B76">
        <v>57.25</v>
      </c>
      <c r="C76">
        <v>0</v>
      </c>
      <c r="G76">
        <v>1</v>
      </c>
      <c r="H76">
        <v>-1</v>
      </c>
      <c r="I76">
        <f t="shared" si="12"/>
        <v>171</v>
      </c>
      <c r="J76">
        <f t="shared" si="12"/>
        <v>73</v>
      </c>
      <c r="K76">
        <f t="shared" si="11"/>
        <v>75</v>
      </c>
      <c r="L76">
        <v>10000</v>
      </c>
      <c r="M76">
        <v>0</v>
      </c>
      <c r="N76">
        <f t="shared" si="6"/>
        <v>38.888888888888886</v>
      </c>
      <c r="P76">
        <f t="shared" si="9"/>
        <v>0.64999999999999858</v>
      </c>
    </row>
    <row r="77" spans="1:16" x14ac:dyDescent="0.35">
      <c r="A77">
        <f t="shared" si="10"/>
        <v>76</v>
      </c>
      <c r="B77">
        <v>58.101999999999997</v>
      </c>
      <c r="C77">
        <v>0</v>
      </c>
      <c r="I77">
        <f t="shared" si="12"/>
        <v>172</v>
      </c>
      <c r="J77">
        <f t="shared" si="12"/>
        <v>74</v>
      </c>
      <c r="K77">
        <f t="shared" si="11"/>
        <v>76</v>
      </c>
      <c r="L77">
        <v>10000</v>
      </c>
      <c r="M77">
        <v>0</v>
      </c>
      <c r="N77">
        <f t="shared" si="6"/>
        <v>38.888888888888886</v>
      </c>
      <c r="P77">
        <f t="shared" si="9"/>
        <v>0.85199999999999676</v>
      </c>
    </row>
    <row r="78" spans="1:16" x14ac:dyDescent="0.35">
      <c r="A78">
        <f t="shared" si="10"/>
        <v>77</v>
      </c>
      <c r="B78">
        <v>58.789000000000001</v>
      </c>
      <c r="C78">
        <v>0</v>
      </c>
      <c r="G78">
        <v>1</v>
      </c>
      <c r="H78">
        <v>-1</v>
      </c>
      <c r="I78">
        <f t="shared" si="12"/>
        <v>173</v>
      </c>
      <c r="J78">
        <f t="shared" si="12"/>
        <v>75</v>
      </c>
      <c r="K78">
        <f t="shared" si="11"/>
        <v>77</v>
      </c>
      <c r="L78">
        <v>10000</v>
      </c>
      <c r="M78">
        <v>0</v>
      </c>
      <c r="N78">
        <f t="shared" si="6"/>
        <v>38.888888888888886</v>
      </c>
      <c r="P78">
        <f t="shared" si="9"/>
        <v>0.68700000000000472</v>
      </c>
    </row>
    <row r="79" spans="1:16" x14ac:dyDescent="0.35">
      <c r="A79">
        <f t="shared" si="10"/>
        <v>78</v>
      </c>
      <c r="B79">
        <v>59.427</v>
      </c>
      <c r="C79">
        <v>0</v>
      </c>
      <c r="I79">
        <f t="shared" si="12"/>
        <v>174</v>
      </c>
      <c r="J79">
        <f t="shared" si="12"/>
        <v>76</v>
      </c>
      <c r="K79">
        <f t="shared" si="11"/>
        <v>78</v>
      </c>
      <c r="L79">
        <v>10000</v>
      </c>
      <c r="M79">
        <v>0</v>
      </c>
      <c r="N79">
        <f t="shared" si="6"/>
        <v>38.888888888888886</v>
      </c>
      <c r="P79">
        <f t="shared" si="9"/>
        <v>0.63799999999999812</v>
      </c>
    </row>
    <row r="80" spans="1:16" x14ac:dyDescent="0.35">
      <c r="A80">
        <f t="shared" si="10"/>
        <v>79</v>
      </c>
      <c r="B80">
        <v>59.777999999999999</v>
      </c>
      <c r="C80">
        <v>0</v>
      </c>
      <c r="D80" t="s">
        <v>36</v>
      </c>
      <c r="I80">
        <f t="shared" si="12"/>
        <v>175</v>
      </c>
      <c r="J80">
        <f t="shared" si="12"/>
        <v>77</v>
      </c>
      <c r="K80">
        <f t="shared" si="11"/>
        <v>79</v>
      </c>
      <c r="L80">
        <v>10000</v>
      </c>
      <c r="M80">
        <v>0</v>
      </c>
      <c r="N80">
        <f t="shared" si="6"/>
        <v>38.888888888888886</v>
      </c>
      <c r="P80">
        <f t="shared" si="9"/>
        <v>0.35099999999999909</v>
      </c>
    </row>
    <row r="81" spans="1:16" x14ac:dyDescent="0.35">
      <c r="A81">
        <f t="shared" si="10"/>
        <v>80</v>
      </c>
      <c r="B81">
        <v>59.845999999999997</v>
      </c>
      <c r="C81">
        <v>0</v>
      </c>
      <c r="G81">
        <v>1</v>
      </c>
      <c r="H81">
        <v>-1</v>
      </c>
      <c r="I81">
        <f t="shared" si="12"/>
        <v>176</v>
      </c>
      <c r="J81">
        <f t="shared" si="12"/>
        <v>78</v>
      </c>
      <c r="K81">
        <f t="shared" si="11"/>
        <v>80</v>
      </c>
      <c r="L81">
        <v>10000</v>
      </c>
      <c r="M81">
        <v>0</v>
      </c>
      <c r="N81">
        <f t="shared" si="6"/>
        <v>38.888888888888886</v>
      </c>
      <c r="P81">
        <f t="shared" si="9"/>
        <v>6.799999999999784E-2</v>
      </c>
    </row>
    <row r="82" spans="1:16" x14ac:dyDescent="0.35">
      <c r="A82">
        <f t="shared" si="10"/>
        <v>81</v>
      </c>
      <c r="B82">
        <v>60.854999999999997</v>
      </c>
      <c r="C82">
        <v>0</v>
      </c>
      <c r="I82">
        <f t="shared" si="12"/>
        <v>177</v>
      </c>
      <c r="J82">
        <f t="shared" si="12"/>
        <v>79</v>
      </c>
      <c r="K82">
        <f t="shared" si="11"/>
        <v>81</v>
      </c>
      <c r="L82">
        <v>10000</v>
      </c>
      <c r="M82">
        <v>0</v>
      </c>
      <c r="N82">
        <f t="shared" si="6"/>
        <v>38.888888888888886</v>
      </c>
      <c r="P82">
        <f t="shared" si="9"/>
        <v>1.0090000000000003</v>
      </c>
    </row>
    <row r="83" spans="1:16" x14ac:dyDescent="0.35">
      <c r="A83">
        <f t="shared" si="10"/>
        <v>82</v>
      </c>
      <c r="B83">
        <v>61.518000000000001</v>
      </c>
      <c r="C83">
        <v>0</v>
      </c>
      <c r="G83">
        <v>1</v>
      </c>
      <c r="H83">
        <v>-1</v>
      </c>
      <c r="I83">
        <f t="shared" si="12"/>
        <v>178</v>
      </c>
      <c r="J83">
        <f t="shared" si="12"/>
        <v>80</v>
      </c>
      <c r="K83">
        <f t="shared" si="11"/>
        <v>82</v>
      </c>
      <c r="L83">
        <v>10000</v>
      </c>
      <c r="M83">
        <v>0</v>
      </c>
      <c r="N83">
        <f t="shared" si="6"/>
        <v>38.888888888888886</v>
      </c>
      <c r="P83">
        <f t="shared" si="9"/>
        <v>0.66300000000000381</v>
      </c>
    </row>
    <row r="84" spans="1:16" x14ac:dyDescent="0.35">
      <c r="A84">
        <f t="shared" si="10"/>
        <v>83</v>
      </c>
      <c r="B84">
        <v>62.524999999999999</v>
      </c>
      <c r="C84">
        <v>0</v>
      </c>
      <c r="I84">
        <f t="shared" si="12"/>
        <v>179</v>
      </c>
      <c r="J84">
        <f t="shared" si="12"/>
        <v>81</v>
      </c>
      <c r="K84">
        <f t="shared" si="11"/>
        <v>83</v>
      </c>
      <c r="L84">
        <v>10000</v>
      </c>
      <c r="M84">
        <v>0</v>
      </c>
      <c r="N84">
        <f t="shared" ref="N84:N85" si="13">140/3.6</f>
        <v>38.888888888888886</v>
      </c>
      <c r="P84">
        <f t="shared" si="9"/>
        <v>1.0069999999999979</v>
      </c>
    </row>
    <row r="85" spans="1:16" x14ac:dyDescent="0.35">
      <c r="A85">
        <f t="shared" si="10"/>
        <v>84</v>
      </c>
      <c r="B85">
        <v>63</v>
      </c>
      <c r="C85">
        <v>0</v>
      </c>
      <c r="I85">
        <f t="shared" si="12"/>
        <v>180</v>
      </c>
      <c r="J85">
        <f t="shared" si="12"/>
        <v>82</v>
      </c>
      <c r="K85">
        <f t="shared" si="11"/>
        <v>84</v>
      </c>
      <c r="L85">
        <v>10000</v>
      </c>
      <c r="M85">
        <v>0</v>
      </c>
      <c r="N85">
        <f t="shared" si="13"/>
        <v>38.888888888888886</v>
      </c>
      <c r="P85">
        <f t="shared" si="9"/>
        <v>0.47500000000000142</v>
      </c>
    </row>
    <row r="86" spans="1:16" x14ac:dyDescent="0.35">
      <c r="A86">
        <f t="shared" si="10"/>
        <v>85</v>
      </c>
      <c r="B86">
        <v>63.128</v>
      </c>
      <c r="C86">
        <v>0</v>
      </c>
      <c r="G86">
        <v>1</v>
      </c>
      <c r="H86">
        <v>-1</v>
      </c>
      <c r="I86">
        <f t="shared" si="12"/>
        <v>181</v>
      </c>
      <c r="J86">
        <f t="shared" si="12"/>
        <v>83</v>
      </c>
      <c r="K86">
        <f t="shared" si="11"/>
        <v>85</v>
      </c>
      <c r="L86">
        <v>10000</v>
      </c>
      <c r="M86">
        <v>0</v>
      </c>
      <c r="N86">
        <f>130/3.6</f>
        <v>36.111111111111107</v>
      </c>
      <c r="P86">
        <f t="shared" si="9"/>
        <v>0.12800000000000011</v>
      </c>
    </row>
    <row r="87" spans="1:16" x14ac:dyDescent="0.35">
      <c r="A87">
        <f t="shared" si="10"/>
        <v>86</v>
      </c>
      <c r="B87">
        <v>64.123999999999995</v>
      </c>
      <c r="C87">
        <v>0</v>
      </c>
      <c r="G87">
        <v>1</v>
      </c>
      <c r="H87">
        <v>-1</v>
      </c>
      <c r="I87">
        <f t="shared" si="12"/>
        <v>182</v>
      </c>
      <c r="J87">
        <f t="shared" si="12"/>
        <v>84</v>
      </c>
      <c r="K87">
        <f t="shared" si="11"/>
        <v>86</v>
      </c>
      <c r="L87">
        <v>10000</v>
      </c>
      <c r="M87">
        <v>0</v>
      </c>
      <c r="N87">
        <f t="shared" ref="N87:N91" si="14">130/3.6</f>
        <v>36.111111111111107</v>
      </c>
      <c r="P87">
        <f t="shared" ref="P87:P118" si="15">B87-B86</f>
        <v>0.99599999999999511</v>
      </c>
    </row>
    <row r="88" spans="1:16" x14ac:dyDescent="0.35">
      <c r="A88">
        <f t="shared" si="10"/>
        <v>87</v>
      </c>
      <c r="B88">
        <v>64.762</v>
      </c>
      <c r="C88">
        <v>0</v>
      </c>
      <c r="G88">
        <v>1</v>
      </c>
      <c r="H88">
        <v>1</v>
      </c>
      <c r="I88">
        <f t="shared" si="12"/>
        <v>183</v>
      </c>
      <c r="J88">
        <f t="shared" si="12"/>
        <v>85</v>
      </c>
      <c r="K88">
        <f t="shared" si="11"/>
        <v>87</v>
      </c>
      <c r="L88">
        <v>10000</v>
      </c>
      <c r="M88">
        <v>0</v>
      </c>
      <c r="N88">
        <f t="shared" si="14"/>
        <v>36.111111111111107</v>
      </c>
      <c r="P88">
        <f t="shared" si="15"/>
        <v>0.63800000000000523</v>
      </c>
    </row>
    <row r="89" spans="1:16" x14ac:dyDescent="0.35">
      <c r="A89">
        <f t="shared" si="10"/>
        <v>88</v>
      </c>
      <c r="B89">
        <v>65.316999999999993</v>
      </c>
      <c r="C89">
        <v>0</v>
      </c>
      <c r="I89">
        <f t="shared" si="12"/>
        <v>184</v>
      </c>
      <c r="J89">
        <f t="shared" si="12"/>
        <v>86</v>
      </c>
      <c r="K89">
        <f t="shared" si="11"/>
        <v>88</v>
      </c>
      <c r="L89">
        <v>10000</v>
      </c>
      <c r="M89">
        <v>0</v>
      </c>
      <c r="N89">
        <f t="shared" si="14"/>
        <v>36.111111111111107</v>
      </c>
      <c r="P89">
        <f t="shared" si="15"/>
        <v>0.55499999999999261</v>
      </c>
    </row>
    <row r="90" spans="1:16" x14ac:dyDescent="0.35">
      <c r="A90">
        <f t="shared" si="10"/>
        <v>89</v>
      </c>
      <c r="B90">
        <v>65.394999999999996</v>
      </c>
      <c r="C90">
        <v>0</v>
      </c>
      <c r="I90">
        <f t="shared" si="12"/>
        <v>185</v>
      </c>
      <c r="J90">
        <f t="shared" si="12"/>
        <v>87</v>
      </c>
      <c r="K90">
        <f t="shared" si="11"/>
        <v>89</v>
      </c>
      <c r="L90">
        <v>10000</v>
      </c>
      <c r="M90">
        <v>0</v>
      </c>
      <c r="N90">
        <f t="shared" si="14"/>
        <v>36.111111111111107</v>
      </c>
      <c r="P90">
        <f t="shared" si="15"/>
        <v>7.8000000000002956E-2</v>
      </c>
    </row>
    <row r="91" spans="1:16" x14ac:dyDescent="0.35">
      <c r="A91">
        <f t="shared" si="10"/>
        <v>90</v>
      </c>
      <c r="B91">
        <v>65.488</v>
      </c>
      <c r="C91">
        <v>0</v>
      </c>
      <c r="I91">
        <f t="shared" si="12"/>
        <v>186</v>
      </c>
      <c r="J91">
        <f t="shared" si="12"/>
        <v>88</v>
      </c>
      <c r="K91">
        <f t="shared" si="11"/>
        <v>90</v>
      </c>
      <c r="L91">
        <v>10000</v>
      </c>
      <c r="M91">
        <v>0</v>
      </c>
      <c r="N91">
        <f t="shared" si="14"/>
        <v>36.111111111111107</v>
      </c>
      <c r="P91">
        <f t="shared" si="15"/>
        <v>9.3000000000003524E-2</v>
      </c>
    </row>
    <row r="92" spans="1:16" x14ac:dyDescent="0.35">
      <c r="A92">
        <f t="shared" si="10"/>
        <v>91</v>
      </c>
      <c r="B92">
        <v>65.545000000000002</v>
      </c>
      <c r="C92">
        <v>0</v>
      </c>
      <c r="F92">
        <v>1</v>
      </c>
      <c r="I92">
        <f t="shared" si="12"/>
        <v>187</v>
      </c>
      <c r="J92">
        <f t="shared" si="12"/>
        <v>89</v>
      </c>
      <c r="K92">
        <f t="shared" si="11"/>
        <v>91</v>
      </c>
      <c r="L92">
        <v>10000</v>
      </c>
      <c r="M92">
        <v>0</v>
      </c>
      <c r="N92">
        <f>140/3.6</f>
        <v>38.888888888888886</v>
      </c>
      <c r="P92">
        <f t="shared" si="15"/>
        <v>5.700000000000216E-2</v>
      </c>
    </row>
    <row r="93" spans="1:16" x14ac:dyDescent="0.35">
      <c r="A93">
        <f t="shared" si="10"/>
        <v>92</v>
      </c>
      <c r="B93">
        <v>65.614999999999995</v>
      </c>
      <c r="C93">
        <v>0</v>
      </c>
      <c r="I93">
        <f t="shared" si="12"/>
        <v>188</v>
      </c>
      <c r="J93">
        <f t="shared" si="12"/>
        <v>90</v>
      </c>
      <c r="K93">
        <f t="shared" si="11"/>
        <v>92</v>
      </c>
      <c r="L93">
        <v>10000</v>
      </c>
      <c r="M93">
        <v>0</v>
      </c>
      <c r="N93">
        <f t="shared" ref="N93:N133" si="16">140/3.6</f>
        <v>38.888888888888886</v>
      </c>
      <c r="P93">
        <f t="shared" si="15"/>
        <v>6.9999999999993179E-2</v>
      </c>
    </row>
    <row r="94" spans="1:16" x14ac:dyDescent="0.35">
      <c r="A94">
        <f t="shared" si="10"/>
        <v>93</v>
      </c>
      <c r="B94">
        <v>65.674999999999997</v>
      </c>
      <c r="C94">
        <v>0</v>
      </c>
      <c r="I94">
        <f t="shared" si="12"/>
        <v>189</v>
      </c>
      <c r="J94">
        <f t="shared" si="12"/>
        <v>91</v>
      </c>
      <c r="K94">
        <f t="shared" si="11"/>
        <v>93</v>
      </c>
      <c r="L94">
        <v>10000</v>
      </c>
      <c r="M94">
        <v>0</v>
      </c>
      <c r="N94">
        <f t="shared" si="16"/>
        <v>38.888888888888886</v>
      </c>
      <c r="P94">
        <f t="shared" si="15"/>
        <v>6.0000000000002274E-2</v>
      </c>
    </row>
    <row r="95" spans="1:16" x14ac:dyDescent="0.35">
      <c r="A95">
        <f t="shared" si="10"/>
        <v>94</v>
      </c>
      <c r="B95">
        <v>65.724999999999994</v>
      </c>
      <c r="C95">
        <v>0</v>
      </c>
      <c r="G95">
        <v>1</v>
      </c>
      <c r="H95">
        <v>-1</v>
      </c>
      <c r="I95">
        <f t="shared" si="12"/>
        <v>190</v>
      </c>
      <c r="J95">
        <f t="shared" si="12"/>
        <v>92</v>
      </c>
      <c r="K95">
        <f t="shared" si="11"/>
        <v>94</v>
      </c>
      <c r="L95">
        <v>10000</v>
      </c>
      <c r="M95">
        <v>0</v>
      </c>
      <c r="N95">
        <f t="shared" si="16"/>
        <v>38.888888888888886</v>
      </c>
      <c r="P95">
        <f t="shared" si="15"/>
        <v>4.9999999999997158E-2</v>
      </c>
    </row>
    <row r="96" spans="1:16" x14ac:dyDescent="0.35">
      <c r="A96">
        <f t="shared" si="10"/>
        <v>95</v>
      </c>
      <c r="B96">
        <v>65.826999999999998</v>
      </c>
      <c r="C96">
        <v>0</v>
      </c>
      <c r="D96" t="s">
        <v>37</v>
      </c>
      <c r="E96" t="s">
        <v>51</v>
      </c>
      <c r="I96">
        <f t="shared" si="12"/>
        <v>191</v>
      </c>
      <c r="J96">
        <f t="shared" si="12"/>
        <v>93</v>
      </c>
      <c r="K96">
        <f t="shared" si="11"/>
        <v>95</v>
      </c>
      <c r="L96">
        <v>10000</v>
      </c>
      <c r="M96">
        <v>0</v>
      </c>
      <c r="N96">
        <f t="shared" si="16"/>
        <v>38.888888888888886</v>
      </c>
      <c r="P96">
        <f t="shared" si="15"/>
        <v>0.10200000000000387</v>
      </c>
    </row>
    <row r="97" spans="1:16" x14ac:dyDescent="0.35">
      <c r="A97">
        <f t="shared" si="10"/>
        <v>96</v>
      </c>
      <c r="B97">
        <v>66.111999999999995</v>
      </c>
      <c r="C97">
        <v>0</v>
      </c>
      <c r="G97">
        <v>1</v>
      </c>
      <c r="H97">
        <v>1</v>
      </c>
      <c r="I97">
        <f t="shared" si="12"/>
        <v>192</v>
      </c>
      <c r="J97">
        <f t="shared" si="12"/>
        <v>94</v>
      </c>
      <c r="K97">
        <f t="shared" si="11"/>
        <v>96</v>
      </c>
      <c r="L97">
        <v>10000</v>
      </c>
      <c r="M97">
        <v>0</v>
      </c>
      <c r="N97">
        <f t="shared" si="16"/>
        <v>38.888888888888886</v>
      </c>
      <c r="P97">
        <f t="shared" si="15"/>
        <v>0.28499999999999659</v>
      </c>
    </row>
    <row r="98" spans="1:16" x14ac:dyDescent="0.35">
      <c r="A98">
        <f t="shared" si="10"/>
        <v>97</v>
      </c>
      <c r="B98">
        <v>66.305000000000007</v>
      </c>
      <c r="C98">
        <v>0</v>
      </c>
      <c r="F98">
        <v>1</v>
      </c>
      <c r="I98">
        <f t="shared" si="12"/>
        <v>193</v>
      </c>
      <c r="J98">
        <f t="shared" si="12"/>
        <v>95</v>
      </c>
      <c r="K98">
        <f t="shared" si="11"/>
        <v>97</v>
      </c>
      <c r="L98">
        <v>10000</v>
      </c>
      <c r="M98">
        <v>0</v>
      </c>
      <c r="N98">
        <f t="shared" si="16"/>
        <v>38.888888888888886</v>
      </c>
      <c r="P98">
        <f t="shared" si="15"/>
        <v>0.19300000000001205</v>
      </c>
    </row>
    <row r="99" spans="1:16" x14ac:dyDescent="0.35">
      <c r="A99">
        <f t="shared" si="10"/>
        <v>98</v>
      </c>
      <c r="B99">
        <v>66.41</v>
      </c>
      <c r="C99">
        <v>0</v>
      </c>
      <c r="I99">
        <f t="shared" si="12"/>
        <v>194</v>
      </c>
      <c r="J99">
        <f t="shared" si="12"/>
        <v>96</v>
      </c>
      <c r="K99">
        <f t="shared" si="11"/>
        <v>98</v>
      </c>
      <c r="L99">
        <v>10000</v>
      </c>
      <c r="M99">
        <v>0</v>
      </c>
      <c r="N99">
        <f t="shared" si="16"/>
        <v>38.888888888888886</v>
      </c>
      <c r="P99">
        <f t="shared" si="15"/>
        <v>0.10499999999998977</v>
      </c>
    </row>
    <row r="100" spans="1:16" x14ac:dyDescent="0.35">
      <c r="A100">
        <f t="shared" si="10"/>
        <v>99</v>
      </c>
      <c r="B100">
        <v>66.465000000000003</v>
      </c>
      <c r="C100">
        <v>0</v>
      </c>
      <c r="F100">
        <v>1</v>
      </c>
      <c r="I100">
        <f t="shared" si="12"/>
        <v>195</v>
      </c>
      <c r="J100">
        <f t="shared" si="12"/>
        <v>97</v>
      </c>
      <c r="K100">
        <f t="shared" ref="K100:K101" si="17">A100</f>
        <v>99</v>
      </c>
      <c r="L100">
        <v>10001</v>
      </c>
      <c r="M100">
        <v>0</v>
      </c>
      <c r="N100">
        <f t="shared" si="16"/>
        <v>38.888888888888886</v>
      </c>
      <c r="P100">
        <f t="shared" si="15"/>
        <v>5.5000000000006821E-2</v>
      </c>
    </row>
    <row r="101" spans="1:16" x14ac:dyDescent="0.35">
      <c r="A101">
        <f t="shared" si="10"/>
        <v>100</v>
      </c>
      <c r="B101">
        <v>66.545000000000002</v>
      </c>
      <c r="C101">
        <v>0</v>
      </c>
      <c r="I101">
        <f t="shared" ref="I101:J101" si="18">I100+1</f>
        <v>196</v>
      </c>
      <c r="J101">
        <f t="shared" si="18"/>
        <v>98</v>
      </c>
      <c r="K101">
        <f t="shared" si="17"/>
        <v>100</v>
      </c>
      <c r="L101">
        <v>10002</v>
      </c>
      <c r="M101">
        <v>0</v>
      </c>
      <c r="N101">
        <f t="shared" si="16"/>
        <v>38.888888888888886</v>
      </c>
      <c r="P101">
        <f t="shared" si="15"/>
        <v>7.9999999999998295E-2</v>
      </c>
    </row>
    <row r="102" spans="1:16" x14ac:dyDescent="0.35">
      <c r="A102">
        <f t="shared" si="10"/>
        <v>101</v>
      </c>
      <c r="B102">
        <v>67.183999999999997</v>
      </c>
      <c r="C102">
        <v>0</v>
      </c>
      <c r="G102">
        <v>1</v>
      </c>
      <c r="H102">
        <v>-1</v>
      </c>
      <c r="I102">
        <f t="shared" ref="I102:J102" si="19">I101+1</f>
        <v>197</v>
      </c>
      <c r="J102">
        <f t="shared" si="19"/>
        <v>99</v>
      </c>
      <c r="K102">
        <f t="shared" ref="K102:K133" si="20">A102</f>
        <v>101</v>
      </c>
      <c r="L102">
        <v>10003</v>
      </c>
      <c r="M102">
        <v>0</v>
      </c>
      <c r="N102">
        <f t="shared" si="16"/>
        <v>38.888888888888886</v>
      </c>
      <c r="P102">
        <f t="shared" si="15"/>
        <v>0.63899999999999579</v>
      </c>
    </row>
    <row r="103" spans="1:16" x14ac:dyDescent="0.35">
      <c r="A103">
        <f t="shared" si="10"/>
        <v>102</v>
      </c>
      <c r="B103">
        <v>67.53</v>
      </c>
      <c r="C103">
        <v>0</v>
      </c>
      <c r="G103">
        <v>1</v>
      </c>
      <c r="H103">
        <v>-1</v>
      </c>
      <c r="I103">
        <f t="shared" ref="I103:J103" si="21">I102+1</f>
        <v>198</v>
      </c>
      <c r="J103">
        <f t="shared" si="21"/>
        <v>100</v>
      </c>
      <c r="K103">
        <f t="shared" si="20"/>
        <v>102</v>
      </c>
      <c r="L103">
        <v>10004</v>
      </c>
      <c r="M103">
        <v>0</v>
      </c>
      <c r="N103">
        <f t="shared" si="16"/>
        <v>38.888888888888886</v>
      </c>
      <c r="P103">
        <f t="shared" si="15"/>
        <v>0.34600000000000364</v>
      </c>
    </row>
    <row r="104" spans="1:16" x14ac:dyDescent="0.35">
      <c r="A104">
        <f t="shared" si="10"/>
        <v>103</v>
      </c>
      <c r="B104">
        <v>68.534000000000006</v>
      </c>
      <c r="C104">
        <v>0</v>
      </c>
      <c r="I104">
        <f t="shared" ref="I104:J104" si="22">I103+1</f>
        <v>199</v>
      </c>
      <c r="J104">
        <f t="shared" si="22"/>
        <v>101</v>
      </c>
      <c r="K104">
        <f t="shared" si="20"/>
        <v>103</v>
      </c>
      <c r="L104">
        <v>10005</v>
      </c>
      <c r="M104">
        <v>0</v>
      </c>
      <c r="N104">
        <f t="shared" si="16"/>
        <v>38.888888888888886</v>
      </c>
      <c r="P104">
        <f t="shared" si="15"/>
        <v>1.0040000000000049</v>
      </c>
    </row>
    <row r="105" spans="1:16" x14ac:dyDescent="0.35">
      <c r="A105">
        <f t="shared" si="10"/>
        <v>104</v>
      </c>
      <c r="B105">
        <v>68.900000000000006</v>
      </c>
      <c r="C105">
        <v>0</v>
      </c>
      <c r="G105">
        <v>1</v>
      </c>
      <c r="H105">
        <v>-1</v>
      </c>
      <c r="I105">
        <f t="shared" ref="I105:J105" si="23">I104+1</f>
        <v>200</v>
      </c>
      <c r="J105">
        <f t="shared" si="23"/>
        <v>102</v>
      </c>
      <c r="K105">
        <f t="shared" si="20"/>
        <v>104</v>
      </c>
      <c r="L105">
        <v>10006</v>
      </c>
      <c r="M105">
        <v>0</v>
      </c>
      <c r="N105">
        <f t="shared" si="16"/>
        <v>38.888888888888886</v>
      </c>
      <c r="P105">
        <f t="shared" si="15"/>
        <v>0.36599999999999966</v>
      </c>
    </row>
    <row r="106" spans="1:16" x14ac:dyDescent="0.35">
      <c r="A106">
        <f t="shared" si="10"/>
        <v>105</v>
      </c>
      <c r="B106">
        <v>69.897999999999996</v>
      </c>
      <c r="C106">
        <v>0</v>
      </c>
      <c r="G106">
        <v>1</v>
      </c>
      <c r="H106">
        <v>-1</v>
      </c>
      <c r="I106">
        <f t="shared" ref="I106:J106" si="24">I105+1</f>
        <v>201</v>
      </c>
      <c r="J106">
        <f t="shared" si="24"/>
        <v>103</v>
      </c>
      <c r="K106">
        <f t="shared" si="20"/>
        <v>105</v>
      </c>
      <c r="L106">
        <v>10007</v>
      </c>
      <c r="M106">
        <v>0</v>
      </c>
      <c r="N106">
        <f t="shared" si="16"/>
        <v>38.888888888888886</v>
      </c>
      <c r="P106">
        <f t="shared" si="15"/>
        <v>0.99799999999999045</v>
      </c>
    </row>
    <row r="107" spans="1:16" x14ac:dyDescent="0.35">
      <c r="A107">
        <f t="shared" si="10"/>
        <v>106</v>
      </c>
      <c r="B107">
        <v>70.349999999999994</v>
      </c>
      <c r="C107">
        <v>0</v>
      </c>
      <c r="G107">
        <v>1</v>
      </c>
      <c r="H107">
        <v>1</v>
      </c>
      <c r="I107">
        <f t="shared" ref="I107:J107" si="25">I106+1</f>
        <v>202</v>
      </c>
      <c r="J107">
        <f t="shared" si="25"/>
        <v>104</v>
      </c>
      <c r="K107">
        <f t="shared" si="20"/>
        <v>106</v>
      </c>
      <c r="L107">
        <v>10008</v>
      </c>
      <c r="M107">
        <v>0</v>
      </c>
      <c r="N107">
        <f t="shared" si="16"/>
        <v>38.888888888888886</v>
      </c>
      <c r="P107">
        <f t="shared" si="15"/>
        <v>0.45199999999999818</v>
      </c>
    </row>
    <row r="108" spans="1:16" x14ac:dyDescent="0.35">
      <c r="A108">
        <f t="shared" si="10"/>
        <v>107</v>
      </c>
      <c r="B108">
        <v>70.765000000000001</v>
      </c>
      <c r="C108">
        <v>0</v>
      </c>
      <c r="F108">
        <v>1</v>
      </c>
      <c r="I108">
        <f t="shared" ref="I108:J108" si="26">I107+1</f>
        <v>203</v>
      </c>
      <c r="J108">
        <f t="shared" si="26"/>
        <v>105</v>
      </c>
      <c r="K108">
        <f t="shared" si="20"/>
        <v>107</v>
      </c>
      <c r="L108">
        <v>10009</v>
      </c>
      <c r="M108">
        <v>0</v>
      </c>
      <c r="N108">
        <f t="shared" si="16"/>
        <v>38.888888888888886</v>
      </c>
      <c r="P108">
        <f t="shared" si="15"/>
        <v>0.41500000000000625</v>
      </c>
    </row>
    <row r="109" spans="1:16" x14ac:dyDescent="0.35">
      <c r="A109">
        <f t="shared" si="10"/>
        <v>108</v>
      </c>
      <c r="B109">
        <v>70.828999999999994</v>
      </c>
      <c r="C109">
        <v>0</v>
      </c>
      <c r="I109">
        <f t="shared" ref="I109:J109" si="27">I108+1</f>
        <v>204</v>
      </c>
      <c r="J109">
        <f t="shared" si="27"/>
        <v>106</v>
      </c>
      <c r="K109">
        <f t="shared" si="20"/>
        <v>108</v>
      </c>
      <c r="L109">
        <v>10010</v>
      </c>
      <c r="M109">
        <v>0</v>
      </c>
      <c r="N109">
        <f t="shared" si="16"/>
        <v>38.888888888888886</v>
      </c>
      <c r="P109">
        <f t="shared" si="15"/>
        <v>6.3999999999992951E-2</v>
      </c>
    </row>
    <row r="110" spans="1:16" x14ac:dyDescent="0.35">
      <c r="A110">
        <f t="shared" si="10"/>
        <v>109</v>
      </c>
      <c r="B110">
        <v>71.36</v>
      </c>
      <c r="C110">
        <v>0</v>
      </c>
      <c r="G110">
        <v>1</v>
      </c>
      <c r="H110">
        <v>-1</v>
      </c>
      <c r="I110">
        <f t="shared" ref="I110:J110" si="28">I109+1</f>
        <v>205</v>
      </c>
      <c r="J110">
        <f t="shared" si="28"/>
        <v>107</v>
      </c>
      <c r="K110">
        <f t="shared" si="20"/>
        <v>109</v>
      </c>
      <c r="L110">
        <v>10011</v>
      </c>
      <c r="M110">
        <v>0</v>
      </c>
      <c r="N110">
        <f t="shared" si="16"/>
        <v>38.888888888888886</v>
      </c>
      <c r="P110">
        <f t="shared" si="15"/>
        <v>0.53100000000000591</v>
      </c>
    </row>
    <row r="111" spans="1:16" x14ac:dyDescent="0.35">
      <c r="A111">
        <f t="shared" si="10"/>
        <v>110</v>
      </c>
      <c r="B111">
        <v>71.456999999999994</v>
      </c>
      <c r="C111">
        <v>0</v>
      </c>
      <c r="I111">
        <f t="shared" ref="I111:J111" si="29">I110+1</f>
        <v>206</v>
      </c>
      <c r="J111">
        <f t="shared" si="29"/>
        <v>108</v>
      </c>
      <c r="K111">
        <f t="shared" si="20"/>
        <v>110</v>
      </c>
      <c r="L111">
        <v>10012</v>
      </c>
      <c r="M111">
        <v>0</v>
      </c>
      <c r="N111">
        <f t="shared" si="16"/>
        <v>38.888888888888886</v>
      </c>
      <c r="P111">
        <f t="shared" si="15"/>
        <v>9.6999999999994202E-2</v>
      </c>
    </row>
    <row r="112" spans="1:16" x14ac:dyDescent="0.35">
      <c r="A112">
        <f t="shared" si="10"/>
        <v>111</v>
      </c>
      <c r="B112">
        <v>71.52</v>
      </c>
      <c r="C112">
        <v>0</v>
      </c>
      <c r="F112">
        <v>1</v>
      </c>
      <c r="I112">
        <f t="shared" ref="I112:J112" si="30">I111+1</f>
        <v>207</v>
      </c>
      <c r="J112">
        <f t="shared" si="30"/>
        <v>109</v>
      </c>
      <c r="K112">
        <f t="shared" si="20"/>
        <v>111</v>
      </c>
      <c r="L112">
        <v>10013</v>
      </c>
      <c r="M112">
        <v>0</v>
      </c>
      <c r="N112">
        <f t="shared" si="16"/>
        <v>38.888888888888886</v>
      </c>
      <c r="P112">
        <f t="shared" si="15"/>
        <v>6.3000000000002387E-2</v>
      </c>
    </row>
    <row r="113" spans="1:16" x14ac:dyDescent="0.35">
      <c r="A113">
        <f t="shared" si="10"/>
        <v>112</v>
      </c>
      <c r="B113">
        <v>71.600999999999999</v>
      </c>
      <c r="C113">
        <v>0</v>
      </c>
      <c r="I113">
        <f t="shared" ref="I113:J113" si="31">I112+1</f>
        <v>208</v>
      </c>
      <c r="J113">
        <f t="shared" si="31"/>
        <v>110</v>
      </c>
      <c r="K113">
        <f t="shared" si="20"/>
        <v>112</v>
      </c>
      <c r="L113">
        <v>10014</v>
      </c>
      <c r="M113">
        <v>0</v>
      </c>
      <c r="N113">
        <f t="shared" si="16"/>
        <v>38.888888888888886</v>
      </c>
      <c r="P113">
        <f t="shared" si="15"/>
        <v>8.100000000000307E-2</v>
      </c>
    </row>
    <row r="114" spans="1:16" x14ac:dyDescent="0.35">
      <c r="A114">
        <f t="shared" si="10"/>
        <v>113</v>
      </c>
      <c r="B114">
        <v>71.653000000000006</v>
      </c>
      <c r="C114">
        <v>0</v>
      </c>
      <c r="D114" t="s">
        <v>38</v>
      </c>
      <c r="I114">
        <f t="shared" ref="I114:J114" si="32">I113+1</f>
        <v>209</v>
      </c>
      <c r="J114">
        <f t="shared" si="32"/>
        <v>111</v>
      </c>
      <c r="K114">
        <f t="shared" si="20"/>
        <v>113</v>
      </c>
      <c r="L114">
        <v>10015</v>
      </c>
      <c r="M114">
        <v>0</v>
      </c>
      <c r="N114">
        <f t="shared" si="16"/>
        <v>38.888888888888886</v>
      </c>
      <c r="P114">
        <f t="shared" si="15"/>
        <v>5.2000000000006708E-2</v>
      </c>
    </row>
    <row r="115" spans="1:16" x14ac:dyDescent="0.35">
      <c r="A115">
        <f t="shared" si="10"/>
        <v>114</v>
      </c>
      <c r="B115">
        <v>71.751000000000005</v>
      </c>
      <c r="C115">
        <v>0</v>
      </c>
      <c r="I115">
        <f t="shared" ref="I115:J115" si="33">I114+1</f>
        <v>210</v>
      </c>
      <c r="J115">
        <f t="shared" si="33"/>
        <v>112</v>
      </c>
      <c r="K115">
        <f t="shared" si="20"/>
        <v>114</v>
      </c>
      <c r="L115">
        <v>10016</v>
      </c>
      <c r="M115">
        <v>0</v>
      </c>
      <c r="N115">
        <f t="shared" si="16"/>
        <v>38.888888888888886</v>
      </c>
      <c r="P115">
        <f t="shared" si="15"/>
        <v>9.7999999999998977E-2</v>
      </c>
    </row>
    <row r="116" spans="1:16" x14ac:dyDescent="0.35">
      <c r="A116">
        <f t="shared" si="10"/>
        <v>115</v>
      </c>
      <c r="B116">
        <v>71.823999999999998</v>
      </c>
      <c r="C116">
        <v>0</v>
      </c>
      <c r="I116">
        <f t="shared" ref="I116:J116" si="34">I115+1</f>
        <v>211</v>
      </c>
      <c r="J116">
        <f t="shared" si="34"/>
        <v>113</v>
      </c>
      <c r="K116">
        <f t="shared" si="20"/>
        <v>115</v>
      </c>
      <c r="L116">
        <v>10017</v>
      </c>
      <c r="M116">
        <v>0</v>
      </c>
      <c r="N116">
        <f t="shared" si="16"/>
        <v>38.888888888888886</v>
      </c>
      <c r="P116">
        <f t="shared" si="15"/>
        <v>7.2999999999993292E-2</v>
      </c>
    </row>
    <row r="117" spans="1:16" x14ac:dyDescent="0.35">
      <c r="A117">
        <f t="shared" si="10"/>
        <v>116</v>
      </c>
      <c r="B117">
        <v>71.86</v>
      </c>
      <c r="C117">
        <v>0</v>
      </c>
      <c r="G117">
        <v>1</v>
      </c>
      <c r="H117">
        <v>1</v>
      </c>
      <c r="I117">
        <f t="shared" ref="I117:J117" si="35">I116+1</f>
        <v>212</v>
      </c>
      <c r="J117">
        <f t="shared" si="35"/>
        <v>114</v>
      </c>
      <c r="K117">
        <f t="shared" si="20"/>
        <v>116</v>
      </c>
      <c r="L117">
        <v>10018</v>
      </c>
      <c r="M117">
        <v>0</v>
      </c>
      <c r="N117">
        <f t="shared" si="16"/>
        <v>38.888888888888886</v>
      </c>
      <c r="P117">
        <f t="shared" si="15"/>
        <v>3.6000000000001364E-2</v>
      </c>
    </row>
    <row r="118" spans="1:16" x14ac:dyDescent="0.35">
      <c r="A118">
        <f t="shared" si="10"/>
        <v>117</v>
      </c>
      <c r="B118">
        <v>71.936000000000007</v>
      </c>
      <c r="C118">
        <v>0</v>
      </c>
      <c r="I118">
        <f t="shared" ref="I118:J118" si="36">I117+1</f>
        <v>213</v>
      </c>
      <c r="J118">
        <f t="shared" si="36"/>
        <v>115</v>
      </c>
      <c r="K118">
        <f t="shared" si="20"/>
        <v>117</v>
      </c>
      <c r="L118">
        <v>10019</v>
      </c>
      <c r="M118">
        <v>0</v>
      </c>
      <c r="N118">
        <f t="shared" si="16"/>
        <v>38.888888888888886</v>
      </c>
      <c r="P118">
        <f t="shared" si="15"/>
        <v>7.6000000000007617E-2</v>
      </c>
    </row>
    <row r="119" spans="1:16" x14ac:dyDescent="0.35">
      <c r="A119">
        <f t="shared" si="10"/>
        <v>118</v>
      </c>
      <c r="B119">
        <v>71.998000000000005</v>
      </c>
      <c r="C119">
        <v>0</v>
      </c>
      <c r="I119">
        <f t="shared" ref="I119:J119" si="37">I118+1</f>
        <v>214</v>
      </c>
      <c r="J119">
        <f t="shared" si="37"/>
        <v>116</v>
      </c>
      <c r="K119">
        <f t="shared" si="20"/>
        <v>118</v>
      </c>
      <c r="L119">
        <v>10020</v>
      </c>
      <c r="M119">
        <v>0</v>
      </c>
      <c r="N119">
        <f t="shared" si="16"/>
        <v>38.888888888888886</v>
      </c>
      <c r="P119">
        <f t="shared" ref="P119:P133" si="38">B119-B118</f>
        <v>6.1999999999997613E-2</v>
      </c>
    </row>
    <row r="120" spans="1:16" x14ac:dyDescent="0.35">
      <c r="A120">
        <f t="shared" si="10"/>
        <v>119</v>
      </c>
      <c r="B120">
        <v>72.468999999999994</v>
      </c>
      <c r="C120">
        <v>0</v>
      </c>
      <c r="I120">
        <f t="shared" ref="I120:J120" si="39">I119+1</f>
        <v>215</v>
      </c>
      <c r="J120">
        <f t="shared" si="39"/>
        <v>117</v>
      </c>
      <c r="K120">
        <f t="shared" si="20"/>
        <v>119</v>
      </c>
      <c r="L120">
        <v>10021</v>
      </c>
      <c r="M120">
        <v>0</v>
      </c>
      <c r="N120">
        <f t="shared" si="16"/>
        <v>38.888888888888886</v>
      </c>
      <c r="P120">
        <f t="shared" si="38"/>
        <v>0.47099999999998943</v>
      </c>
    </row>
    <row r="121" spans="1:16" x14ac:dyDescent="0.35">
      <c r="A121">
        <f t="shared" si="10"/>
        <v>120</v>
      </c>
      <c r="B121">
        <v>72.739999999999995</v>
      </c>
      <c r="C121">
        <v>0</v>
      </c>
      <c r="G121">
        <v>1</v>
      </c>
      <c r="H121">
        <v>-1</v>
      </c>
      <c r="I121">
        <f t="shared" ref="I121:J121" si="40">I120+1</f>
        <v>216</v>
      </c>
      <c r="J121">
        <f t="shared" si="40"/>
        <v>118</v>
      </c>
      <c r="K121">
        <f t="shared" si="20"/>
        <v>120</v>
      </c>
      <c r="L121">
        <v>10022</v>
      </c>
      <c r="M121">
        <v>0</v>
      </c>
      <c r="N121">
        <f t="shared" si="16"/>
        <v>38.888888888888886</v>
      </c>
      <c r="P121">
        <f t="shared" si="38"/>
        <v>0.2710000000000008</v>
      </c>
    </row>
    <row r="122" spans="1:16" x14ac:dyDescent="0.35">
      <c r="A122">
        <f t="shared" si="10"/>
        <v>121</v>
      </c>
      <c r="B122">
        <v>73.210999999999999</v>
      </c>
      <c r="C122">
        <v>0</v>
      </c>
      <c r="G122">
        <v>1</v>
      </c>
      <c r="H122">
        <v>1</v>
      </c>
      <c r="I122">
        <f t="shared" ref="I122:J122" si="41">I121+1</f>
        <v>217</v>
      </c>
      <c r="J122">
        <f t="shared" si="41"/>
        <v>119</v>
      </c>
      <c r="K122">
        <f t="shared" si="20"/>
        <v>121</v>
      </c>
      <c r="L122">
        <v>10023</v>
      </c>
      <c r="M122">
        <v>0</v>
      </c>
      <c r="N122">
        <f t="shared" si="16"/>
        <v>38.888888888888886</v>
      </c>
      <c r="P122">
        <f t="shared" si="38"/>
        <v>0.47100000000000364</v>
      </c>
    </row>
    <row r="123" spans="1:16" x14ac:dyDescent="0.35">
      <c r="A123">
        <f t="shared" si="10"/>
        <v>122</v>
      </c>
      <c r="B123">
        <v>74.245000000000005</v>
      </c>
      <c r="C123">
        <v>0</v>
      </c>
      <c r="G123">
        <v>1</v>
      </c>
      <c r="H123">
        <v>-1</v>
      </c>
      <c r="I123">
        <f t="shared" ref="I123:J123" si="42">I122+1</f>
        <v>218</v>
      </c>
      <c r="J123">
        <f t="shared" si="42"/>
        <v>120</v>
      </c>
      <c r="K123">
        <f t="shared" si="20"/>
        <v>122</v>
      </c>
      <c r="L123">
        <v>10024</v>
      </c>
      <c r="M123">
        <v>0</v>
      </c>
      <c r="N123">
        <f t="shared" si="16"/>
        <v>38.888888888888886</v>
      </c>
      <c r="P123">
        <f t="shared" si="38"/>
        <v>1.034000000000006</v>
      </c>
    </row>
    <row r="124" spans="1:16" x14ac:dyDescent="0.35">
      <c r="A124">
        <f t="shared" si="10"/>
        <v>123</v>
      </c>
      <c r="B124">
        <v>74.593000000000004</v>
      </c>
      <c r="C124">
        <v>0</v>
      </c>
      <c r="G124">
        <v>1</v>
      </c>
      <c r="H124">
        <v>1</v>
      </c>
      <c r="I124">
        <f t="shared" ref="I124:J124" si="43">I123+1</f>
        <v>219</v>
      </c>
      <c r="J124">
        <f t="shared" si="43"/>
        <v>121</v>
      </c>
      <c r="K124">
        <f t="shared" si="20"/>
        <v>123</v>
      </c>
      <c r="L124">
        <v>10025</v>
      </c>
      <c r="M124">
        <v>0</v>
      </c>
      <c r="N124">
        <f t="shared" si="16"/>
        <v>38.888888888888886</v>
      </c>
      <c r="P124">
        <f t="shared" si="38"/>
        <v>0.34799999999999898</v>
      </c>
    </row>
    <row r="125" spans="1:16" x14ac:dyDescent="0.35">
      <c r="A125">
        <f t="shared" si="10"/>
        <v>124</v>
      </c>
      <c r="B125">
        <v>75.742000000000004</v>
      </c>
      <c r="C125">
        <v>0</v>
      </c>
      <c r="G125">
        <v>1</v>
      </c>
      <c r="H125">
        <v>-1</v>
      </c>
      <c r="I125">
        <f t="shared" ref="I125:J125" si="44">I124+1</f>
        <v>220</v>
      </c>
      <c r="J125">
        <f t="shared" si="44"/>
        <v>122</v>
      </c>
      <c r="K125">
        <f t="shared" si="20"/>
        <v>124</v>
      </c>
      <c r="L125">
        <v>10026</v>
      </c>
      <c r="M125">
        <v>0</v>
      </c>
      <c r="N125">
        <f t="shared" si="16"/>
        <v>38.888888888888886</v>
      </c>
      <c r="P125">
        <f t="shared" si="38"/>
        <v>1.1490000000000009</v>
      </c>
    </row>
    <row r="126" spans="1:16" x14ac:dyDescent="0.35">
      <c r="A126">
        <f t="shared" si="10"/>
        <v>125</v>
      </c>
      <c r="B126">
        <v>76.055999999999997</v>
      </c>
      <c r="C126">
        <v>0</v>
      </c>
      <c r="G126">
        <v>1</v>
      </c>
      <c r="H126">
        <v>1</v>
      </c>
      <c r="I126">
        <f t="shared" ref="I126:J126" si="45">I125+1</f>
        <v>221</v>
      </c>
      <c r="J126">
        <f t="shared" si="45"/>
        <v>123</v>
      </c>
      <c r="K126">
        <f t="shared" si="20"/>
        <v>125</v>
      </c>
      <c r="L126">
        <v>10027</v>
      </c>
      <c r="M126">
        <v>0</v>
      </c>
      <c r="N126">
        <f t="shared" si="16"/>
        <v>38.888888888888886</v>
      </c>
      <c r="P126">
        <f t="shared" si="38"/>
        <v>0.31399999999999295</v>
      </c>
    </row>
    <row r="127" spans="1:16" x14ac:dyDescent="0.35">
      <c r="A127">
        <f t="shared" si="10"/>
        <v>126</v>
      </c>
      <c r="B127">
        <v>77.278999999999996</v>
      </c>
      <c r="C127">
        <v>0</v>
      </c>
      <c r="G127">
        <v>1</v>
      </c>
      <c r="H127">
        <v>-1</v>
      </c>
      <c r="I127">
        <f t="shared" ref="I127:J127" si="46">I126+1</f>
        <v>222</v>
      </c>
      <c r="J127">
        <f t="shared" si="46"/>
        <v>124</v>
      </c>
      <c r="K127">
        <f t="shared" si="20"/>
        <v>126</v>
      </c>
      <c r="L127">
        <v>10028</v>
      </c>
      <c r="M127">
        <v>0</v>
      </c>
      <c r="N127">
        <f t="shared" si="16"/>
        <v>38.888888888888886</v>
      </c>
      <c r="P127">
        <f t="shared" si="38"/>
        <v>1.222999999999999</v>
      </c>
    </row>
    <row r="128" spans="1:16" x14ac:dyDescent="0.35">
      <c r="A128">
        <f t="shared" si="10"/>
        <v>127</v>
      </c>
      <c r="B128">
        <v>77.81</v>
      </c>
      <c r="C128">
        <v>0</v>
      </c>
      <c r="G128">
        <v>1</v>
      </c>
      <c r="H128">
        <v>1</v>
      </c>
      <c r="I128">
        <f t="shared" ref="I128:J128" si="47">I127+1</f>
        <v>223</v>
      </c>
      <c r="J128">
        <f t="shared" si="47"/>
        <v>125</v>
      </c>
      <c r="K128">
        <f t="shared" si="20"/>
        <v>127</v>
      </c>
      <c r="L128">
        <v>10029</v>
      </c>
      <c r="M128">
        <v>0</v>
      </c>
      <c r="N128">
        <f t="shared" si="16"/>
        <v>38.888888888888886</v>
      </c>
      <c r="P128">
        <f t="shared" si="38"/>
        <v>0.53100000000000591</v>
      </c>
    </row>
    <row r="129" spans="1:16" x14ac:dyDescent="0.35">
      <c r="A129">
        <f t="shared" si="10"/>
        <v>128</v>
      </c>
      <c r="B129">
        <v>78.391999999999996</v>
      </c>
      <c r="C129">
        <v>0</v>
      </c>
      <c r="I129">
        <f t="shared" ref="I129:J129" si="48">I128+1</f>
        <v>224</v>
      </c>
      <c r="J129">
        <f t="shared" si="48"/>
        <v>126</v>
      </c>
      <c r="K129">
        <f t="shared" si="20"/>
        <v>128</v>
      </c>
      <c r="L129">
        <v>10030</v>
      </c>
      <c r="M129">
        <v>0</v>
      </c>
      <c r="N129">
        <f t="shared" si="16"/>
        <v>38.888888888888886</v>
      </c>
      <c r="P129">
        <f t="shared" si="38"/>
        <v>0.58199999999999363</v>
      </c>
    </row>
    <row r="130" spans="1:16" x14ac:dyDescent="0.35">
      <c r="A130">
        <f t="shared" si="10"/>
        <v>129</v>
      </c>
      <c r="B130">
        <v>78.414000000000001</v>
      </c>
      <c r="C130">
        <v>0</v>
      </c>
      <c r="I130">
        <f t="shared" ref="I130:J130" si="49">I129+1</f>
        <v>225</v>
      </c>
      <c r="J130">
        <f t="shared" si="49"/>
        <v>127</v>
      </c>
      <c r="K130">
        <f t="shared" si="20"/>
        <v>129</v>
      </c>
      <c r="L130">
        <v>10031</v>
      </c>
      <c r="M130">
        <v>0</v>
      </c>
      <c r="N130">
        <f t="shared" si="16"/>
        <v>38.888888888888886</v>
      </c>
      <c r="P130">
        <f t="shared" si="38"/>
        <v>2.2000000000005571E-2</v>
      </c>
    </row>
    <row r="131" spans="1:16" x14ac:dyDescent="0.35">
      <c r="A131">
        <f t="shared" si="10"/>
        <v>130</v>
      </c>
      <c r="B131">
        <v>78.489000000000004</v>
      </c>
      <c r="C131">
        <v>0</v>
      </c>
      <c r="I131">
        <f t="shared" ref="I131:J131" si="50">I130+1</f>
        <v>226</v>
      </c>
      <c r="J131">
        <f t="shared" si="50"/>
        <v>128</v>
      </c>
      <c r="K131">
        <f t="shared" si="20"/>
        <v>130</v>
      </c>
      <c r="L131">
        <v>10032</v>
      </c>
      <c r="M131">
        <v>0</v>
      </c>
      <c r="N131">
        <f t="shared" si="16"/>
        <v>38.888888888888886</v>
      </c>
      <c r="P131">
        <f t="shared" si="38"/>
        <v>7.5000000000002842E-2</v>
      </c>
    </row>
    <row r="132" spans="1:16" x14ac:dyDescent="0.35">
      <c r="A132">
        <f t="shared" si="10"/>
        <v>131</v>
      </c>
      <c r="B132">
        <v>78.507999999999996</v>
      </c>
      <c r="C132">
        <v>0</v>
      </c>
      <c r="D132" t="s">
        <v>39</v>
      </c>
      <c r="I132">
        <f t="shared" ref="I132:J132" si="51">I131+1</f>
        <v>227</v>
      </c>
      <c r="J132">
        <f t="shared" si="51"/>
        <v>129</v>
      </c>
      <c r="K132">
        <f t="shared" si="20"/>
        <v>131</v>
      </c>
      <c r="L132">
        <v>10033</v>
      </c>
      <c r="M132">
        <v>0</v>
      </c>
      <c r="N132">
        <f t="shared" si="16"/>
        <v>38.888888888888886</v>
      </c>
      <c r="P132">
        <f t="shared" si="38"/>
        <v>1.8999999999991246E-2</v>
      </c>
    </row>
    <row r="133" spans="1:16" x14ac:dyDescent="0.35">
      <c r="A133">
        <f t="shared" ref="A133" si="52">A132+1</f>
        <v>132</v>
      </c>
      <c r="B133">
        <v>78.751999999999995</v>
      </c>
      <c r="C133">
        <v>0</v>
      </c>
      <c r="G133">
        <v>1</v>
      </c>
      <c r="H133">
        <v>0</v>
      </c>
      <c r="I133">
        <f t="shared" ref="I133:J133" si="53">I132+1</f>
        <v>228</v>
      </c>
      <c r="J133">
        <f t="shared" si="53"/>
        <v>130</v>
      </c>
      <c r="K133">
        <f t="shared" si="20"/>
        <v>132</v>
      </c>
      <c r="L133">
        <v>10034</v>
      </c>
      <c r="M133">
        <v>0</v>
      </c>
      <c r="N133">
        <f t="shared" si="16"/>
        <v>38.888888888888886</v>
      </c>
      <c r="P133">
        <f t="shared" si="38"/>
        <v>0.24399999999999977</v>
      </c>
    </row>
  </sheetData>
  <autoFilter ref="A1:N133" xr:uid="{59C1FAAA-71DF-4299-8B6E-E9BE8F62856E}"/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BDE0-4C31-4E23-976E-0DA333F39CF4}">
  <dimension ref="A1:P94"/>
  <sheetViews>
    <sheetView zoomScale="70" zoomScaleNormal="70" workbookViewId="0">
      <selection activeCell="E1" sqref="E1:E1048576"/>
    </sheetView>
  </sheetViews>
  <sheetFormatPr defaultRowHeight="14.5" x14ac:dyDescent="0.35"/>
  <cols>
    <col min="4" max="4" width="13.90625" bestFit="1" customWidth="1"/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28.7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28.9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100/3.6</f>
        <v>27.777777777777779</v>
      </c>
      <c r="P3">
        <f t="shared" ref="P3:P8" si="0">B3-B2</f>
        <v>0.19999999999999929</v>
      </c>
    </row>
    <row r="4" spans="1:16" x14ac:dyDescent="0.35">
      <c r="A4">
        <f t="shared" ref="A4:A8" si="1">A3+1</f>
        <v>3</v>
      </c>
      <c r="B4">
        <v>28.934999999999999</v>
      </c>
      <c r="C4">
        <v>0</v>
      </c>
      <c r="G4">
        <v>1</v>
      </c>
      <c r="H4">
        <v>-1</v>
      </c>
      <c r="I4">
        <v>100</v>
      </c>
      <c r="J4">
        <f>A3</f>
        <v>2</v>
      </c>
      <c r="K4">
        <f t="shared" ref="K4:K8" si="2">A4</f>
        <v>3</v>
      </c>
      <c r="L4">
        <v>10000</v>
      </c>
      <c r="M4">
        <v>0</v>
      </c>
      <c r="N4">
        <f t="shared" ref="N4:N8" si="3">100/3.6</f>
        <v>27.777777777777779</v>
      </c>
      <c r="P4">
        <f t="shared" si="0"/>
        <v>3.5000000000000142E-2</v>
      </c>
    </row>
    <row r="5" spans="1:16" x14ac:dyDescent="0.35">
      <c r="A5">
        <f t="shared" si="1"/>
        <v>4</v>
      </c>
      <c r="B5">
        <v>29.25</v>
      </c>
      <c r="C5">
        <v>0</v>
      </c>
      <c r="D5" t="s">
        <v>21</v>
      </c>
      <c r="I5">
        <v>100</v>
      </c>
      <c r="J5">
        <f t="shared" ref="J5:J8" si="4">A4</f>
        <v>3</v>
      </c>
      <c r="K5">
        <f t="shared" si="2"/>
        <v>4</v>
      </c>
      <c r="L5">
        <v>10000</v>
      </c>
      <c r="M5">
        <v>0</v>
      </c>
      <c r="N5">
        <f t="shared" si="3"/>
        <v>27.777777777777779</v>
      </c>
      <c r="P5">
        <f t="shared" si="0"/>
        <v>0.31500000000000128</v>
      </c>
    </row>
    <row r="6" spans="1:16" x14ac:dyDescent="0.35">
      <c r="A6">
        <f t="shared" si="1"/>
        <v>5</v>
      </c>
      <c r="B6">
        <v>29.372</v>
      </c>
      <c r="C6">
        <v>0</v>
      </c>
      <c r="G6">
        <v>1</v>
      </c>
      <c r="H6">
        <v>1</v>
      </c>
      <c r="I6">
        <v>100</v>
      </c>
      <c r="J6">
        <f t="shared" si="4"/>
        <v>4</v>
      </c>
      <c r="K6">
        <f t="shared" si="2"/>
        <v>5</v>
      </c>
      <c r="L6">
        <v>10000</v>
      </c>
      <c r="M6">
        <v>0</v>
      </c>
      <c r="N6">
        <f t="shared" si="3"/>
        <v>27.777777777777779</v>
      </c>
      <c r="P6">
        <f t="shared" si="0"/>
        <v>0.12199999999999989</v>
      </c>
    </row>
    <row r="7" spans="1:16" x14ac:dyDescent="0.35">
      <c r="A7">
        <f t="shared" si="1"/>
        <v>6</v>
      </c>
      <c r="B7">
        <v>29.47</v>
      </c>
      <c r="C7">
        <v>0</v>
      </c>
      <c r="F7">
        <v>1</v>
      </c>
      <c r="I7">
        <v>100</v>
      </c>
      <c r="J7">
        <f t="shared" si="4"/>
        <v>5</v>
      </c>
      <c r="K7">
        <f t="shared" si="2"/>
        <v>6</v>
      </c>
      <c r="L7">
        <v>10000</v>
      </c>
      <c r="M7">
        <v>0</v>
      </c>
      <c r="N7">
        <f t="shared" si="3"/>
        <v>27.777777777777779</v>
      </c>
      <c r="P7">
        <f t="shared" si="0"/>
        <v>9.7999999999998977E-2</v>
      </c>
    </row>
    <row r="8" spans="1:16" x14ac:dyDescent="0.35">
      <c r="A8">
        <f t="shared" si="1"/>
        <v>7</v>
      </c>
      <c r="B8">
        <v>29.5</v>
      </c>
      <c r="C8">
        <v>0</v>
      </c>
      <c r="G8">
        <v>1</v>
      </c>
      <c r="H8">
        <v>0</v>
      </c>
      <c r="I8">
        <v>100</v>
      </c>
      <c r="J8">
        <f t="shared" si="4"/>
        <v>6</v>
      </c>
      <c r="K8">
        <f t="shared" si="2"/>
        <v>7</v>
      </c>
      <c r="L8">
        <v>10000</v>
      </c>
      <c r="M8">
        <v>0</v>
      </c>
      <c r="N8">
        <f t="shared" si="3"/>
        <v>27.777777777777779</v>
      </c>
      <c r="P8">
        <f t="shared" si="0"/>
        <v>3.0000000000001137E-2</v>
      </c>
    </row>
    <row r="94" spans="5:5" x14ac:dyDescent="0.35">
      <c r="E94" t="s">
        <v>50</v>
      </c>
    </row>
  </sheetData>
  <autoFilter ref="A1:N8" xr:uid="{0312BDE0-4C31-4E23-976E-0DA333F39CF4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8EEB-6CD2-4B32-AA5B-1E299B900F67}">
  <dimension ref="A1:P94"/>
  <sheetViews>
    <sheetView topLeftCell="A9" zoomScale="70" zoomScaleNormal="70" workbookViewId="0">
      <selection activeCell="D20" activeCellId="1" sqref="B20 D20"/>
    </sheetView>
  </sheetViews>
  <sheetFormatPr defaultRowHeight="14.5" x14ac:dyDescent="0.35"/>
  <cols>
    <col min="4" max="4" width="11.54296875" bestFit="1" customWidth="1"/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32.69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32.72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21" si="0">B3-B2</f>
        <v>3.0000000000001137E-2</v>
      </c>
    </row>
    <row r="4" spans="1:16" x14ac:dyDescent="0.35">
      <c r="A4">
        <f t="shared" ref="A4:A21" si="1">A3+1</f>
        <v>3</v>
      </c>
      <c r="B4">
        <v>32.83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21" si="2">A4</f>
        <v>3</v>
      </c>
      <c r="L4">
        <v>10000</v>
      </c>
      <c r="M4">
        <v>0</v>
      </c>
      <c r="N4">
        <f t="shared" ref="N4:N14" si="3">60/3.6</f>
        <v>16.666666666666668</v>
      </c>
      <c r="P4">
        <f t="shared" si="0"/>
        <v>0.10999999999999943</v>
      </c>
    </row>
    <row r="5" spans="1:16" x14ac:dyDescent="0.35">
      <c r="A5">
        <f t="shared" si="1"/>
        <v>4</v>
      </c>
      <c r="B5">
        <v>32.837000000000003</v>
      </c>
      <c r="C5">
        <v>0</v>
      </c>
      <c r="I5">
        <f t="shared" ref="I5:I21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16.666666666666668</v>
      </c>
      <c r="P5">
        <f t="shared" si="0"/>
        <v>7.0000000000050022E-3</v>
      </c>
    </row>
    <row r="6" spans="1:16" x14ac:dyDescent="0.35">
      <c r="A6">
        <f t="shared" si="1"/>
        <v>5</v>
      </c>
      <c r="B6">
        <v>32.987000000000002</v>
      </c>
      <c r="C6">
        <v>0</v>
      </c>
      <c r="G6">
        <v>1</v>
      </c>
      <c r="H6">
        <v>-1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16.666666666666668</v>
      </c>
      <c r="P6">
        <f t="shared" si="0"/>
        <v>0.14999999999999858</v>
      </c>
    </row>
    <row r="7" spans="1:16" x14ac:dyDescent="0.35">
      <c r="A7">
        <f t="shared" si="1"/>
        <v>6</v>
      </c>
      <c r="B7">
        <v>33.143000000000001</v>
      </c>
      <c r="C7">
        <v>0</v>
      </c>
      <c r="D7" t="s">
        <v>29</v>
      </c>
      <c r="I7">
        <f t="shared" si="4"/>
        <v>104</v>
      </c>
      <c r="J7">
        <v>5</v>
      </c>
      <c r="K7">
        <f t="shared" si="2"/>
        <v>6</v>
      </c>
      <c r="L7">
        <v>10000</v>
      </c>
      <c r="M7">
        <v>0</v>
      </c>
      <c r="N7">
        <f t="shared" si="3"/>
        <v>16.666666666666668</v>
      </c>
      <c r="P7">
        <f t="shared" si="0"/>
        <v>0.15599999999999881</v>
      </c>
    </row>
    <row r="8" spans="1:16" x14ac:dyDescent="0.35">
      <c r="A8">
        <f t="shared" si="1"/>
        <v>7</v>
      </c>
      <c r="B8">
        <v>33.253</v>
      </c>
      <c r="C8">
        <v>0</v>
      </c>
      <c r="I8">
        <f t="shared" si="4"/>
        <v>105</v>
      </c>
      <c r="J8">
        <v>6</v>
      </c>
      <c r="K8">
        <f t="shared" si="2"/>
        <v>7</v>
      </c>
      <c r="L8">
        <v>10000</v>
      </c>
      <c r="M8">
        <v>0</v>
      </c>
      <c r="N8">
        <f t="shared" si="3"/>
        <v>16.666666666666668</v>
      </c>
      <c r="P8">
        <f t="shared" si="0"/>
        <v>0.10999999999999943</v>
      </c>
    </row>
    <row r="9" spans="1:16" x14ac:dyDescent="0.35">
      <c r="A9">
        <f t="shared" si="1"/>
        <v>8</v>
      </c>
      <c r="B9">
        <v>33.338999999999999</v>
      </c>
      <c r="C9">
        <v>0</v>
      </c>
      <c r="G9">
        <v>1</v>
      </c>
      <c r="H9">
        <v>1</v>
      </c>
      <c r="I9">
        <f t="shared" si="4"/>
        <v>106</v>
      </c>
      <c r="J9">
        <v>7</v>
      </c>
      <c r="K9">
        <f t="shared" si="2"/>
        <v>8</v>
      </c>
      <c r="L9">
        <v>10000</v>
      </c>
      <c r="M9">
        <v>0</v>
      </c>
      <c r="N9">
        <f t="shared" si="3"/>
        <v>16.666666666666668</v>
      </c>
      <c r="P9">
        <f t="shared" si="0"/>
        <v>8.5999999999998522E-2</v>
      </c>
    </row>
    <row r="10" spans="1:16" x14ac:dyDescent="0.35">
      <c r="A10">
        <f t="shared" si="1"/>
        <v>9</v>
      </c>
      <c r="B10">
        <v>33.57</v>
      </c>
      <c r="C10">
        <v>0</v>
      </c>
      <c r="I10">
        <f t="shared" si="4"/>
        <v>107</v>
      </c>
      <c r="J10">
        <v>8</v>
      </c>
      <c r="K10">
        <f t="shared" si="2"/>
        <v>9</v>
      </c>
      <c r="L10">
        <v>10000</v>
      </c>
      <c r="M10">
        <v>0</v>
      </c>
      <c r="N10">
        <f t="shared" si="3"/>
        <v>16.666666666666668</v>
      </c>
      <c r="P10">
        <f t="shared" si="0"/>
        <v>0.23100000000000165</v>
      </c>
    </row>
    <row r="11" spans="1:16" x14ac:dyDescent="0.35">
      <c r="A11">
        <f t="shared" si="1"/>
        <v>10</v>
      </c>
      <c r="B11">
        <v>33.619999999999997</v>
      </c>
      <c r="C11">
        <v>0</v>
      </c>
      <c r="G11">
        <v>1</v>
      </c>
      <c r="H11">
        <v>1</v>
      </c>
      <c r="I11">
        <f t="shared" si="4"/>
        <v>108</v>
      </c>
      <c r="J11">
        <v>9</v>
      </c>
      <c r="K11">
        <f t="shared" si="2"/>
        <v>10</v>
      </c>
      <c r="L11">
        <v>10000</v>
      </c>
      <c r="M11">
        <v>0</v>
      </c>
      <c r="N11">
        <f t="shared" si="3"/>
        <v>16.666666666666668</v>
      </c>
      <c r="P11">
        <f t="shared" si="0"/>
        <v>4.9999999999997158E-2</v>
      </c>
    </row>
    <row r="12" spans="1:16" x14ac:dyDescent="0.35">
      <c r="A12">
        <f t="shared" si="1"/>
        <v>11</v>
      </c>
      <c r="B12">
        <v>33.65</v>
      </c>
      <c r="C12">
        <v>0</v>
      </c>
      <c r="F12">
        <v>1</v>
      </c>
      <c r="I12">
        <f t="shared" si="4"/>
        <v>109</v>
      </c>
      <c r="J12">
        <v>10</v>
      </c>
      <c r="K12">
        <f t="shared" si="2"/>
        <v>11</v>
      </c>
      <c r="L12">
        <v>10000</v>
      </c>
      <c r="M12">
        <v>0</v>
      </c>
      <c r="N12">
        <f t="shared" si="3"/>
        <v>16.666666666666668</v>
      </c>
      <c r="P12">
        <f t="shared" si="0"/>
        <v>3.0000000000001137E-2</v>
      </c>
    </row>
    <row r="13" spans="1:16" x14ac:dyDescent="0.35">
      <c r="A13">
        <f t="shared" si="1"/>
        <v>12</v>
      </c>
      <c r="B13">
        <v>33.700000000000003</v>
      </c>
      <c r="C13">
        <v>0</v>
      </c>
      <c r="I13">
        <f t="shared" si="4"/>
        <v>110</v>
      </c>
      <c r="J13">
        <v>11</v>
      </c>
      <c r="K13">
        <f t="shared" si="2"/>
        <v>12</v>
      </c>
      <c r="L13">
        <v>10000</v>
      </c>
      <c r="M13">
        <v>0</v>
      </c>
      <c r="N13">
        <f t="shared" si="3"/>
        <v>16.666666666666668</v>
      </c>
      <c r="P13">
        <f t="shared" si="0"/>
        <v>5.0000000000004263E-2</v>
      </c>
    </row>
    <row r="14" spans="1:16" x14ac:dyDescent="0.35">
      <c r="A14">
        <f t="shared" si="1"/>
        <v>13</v>
      </c>
      <c r="B14">
        <f>B13+0.518</f>
        <v>34.218000000000004</v>
      </c>
      <c r="C14">
        <v>0</v>
      </c>
      <c r="G14">
        <v>1</v>
      </c>
      <c r="H14">
        <v>-1</v>
      </c>
      <c r="I14">
        <f t="shared" si="4"/>
        <v>111</v>
      </c>
      <c r="J14">
        <v>12</v>
      </c>
      <c r="K14">
        <f t="shared" si="2"/>
        <v>13</v>
      </c>
      <c r="L14">
        <v>10000</v>
      </c>
      <c r="M14">
        <v>0</v>
      </c>
      <c r="N14">
        <f t="shared" si="3"/>
        <v>16.666666666666668</v>
      </c>
      <c r="P14">
        <f t="shared" si="0"/>
        <v>0.51800000000000068</v>
      </c>
    </row>
    <row r="15" spans="1:16" x14ac:dyDescent="0.35">
      <c r="A15">
        <f t="shared" si="1"/>
        <v>14</v>
      </c>
      <c r="B15">
        <v>34.718000000000004</v>
      </c>
      <c r="C15">
        <v>0</v>
      </c>
      <c r="I15">
        <f t="shared" si="4"/>
        <v>112</v>
      </c>
      <c r="J15">
        <v>13</v>
      </c>
      <c r="K15">
        <f t="shared" si="2"/>
        <v>14</v>
      </c>
      <c r="L15">
        <v>10000</v>
      </c>
      <c r="M15">
        <v>0</v>
      </c>
      <c r="N15">
        <f>110/3.6</f>
        <v>30.555555555555554</v>
      </c>
      <c r="P15">
        <f t="shared" si="0"/>
        <v>0.5</v>
      </c>
    </row>
    <row r="16" spans="1:16" x14ac:dyDescent="0.35">
      <c r="A16">
        <f t="shared" si="1"/>
        <v>15</v>
      </c>
      <c r="B16">
        <f>B15+0.9</f>
        <v>35.618000000000002</v>
      </c>
      <c r="C16">
        <v>0</v>
      </c>
      <c r="G16">
        <v>1</v>
      </c>
      <c r="H16">
        <v>-1</v>
      </c>
      <c r="I16">
        <f t="shared" si="4"/>
        <v>113</v>
      </c>
      <c r="J16">
        <v>14</v>
      </c>
      <c r="K16">
        <f t="shared" si="2"/>
        <v>15</v>
      </c>
      <c r="L16">
        <v>10000</v>
      </c>
      <c r="M16">
        <v>0</v>
      </c>
      <c r="N16">
        <f t="shared" ref="N16:N21" si="5">110/3.6</f>
        <v>30.555555555555554</v>
      </c>
      <c r="P16">
        <f t="shared" si="0"/>
        <v>0.89999999999999858</v>
      </c>
    </row>
    <row r="17" spans="1:16" x14ac:dyDescent="0.35">
      <c r="A17">
        <f t="shared" si="1"/>
        <v>16</v>
      </c>
      <c r="B17">
        <f>B16+0.323</f>
        <v>35.941000000000003</v>
      </c>
      <c r="C17">
        <v>0</v>
      </c>
      <c r="G17">
        <v>1</v>
      </c>
      <c r="H17">
        <v>1</v>
      </c>
      <c r="I17">
        <f t="shared" si="4"/>
        <v>114</v>
      </c>
      <c r="J17">
        <v>15</v>
      </c>
      <c r="K17">
        <f t="shared" si="2"/>
        <v>16</v>
      </c>
      <c r="L17">
        <v>10000</v>
      </c>
      <c r="M17">
        <v>0</v>
      </c>
      <c r="N17">
        <f t="shared" si="5"/>
        <v>30.555555555555554</v>
      </c>
      <c r="P17">
        <f t="shared" si="0"/>
        <v>0.3230000000000004</v>
      </c>
    </row>
    <row r="18" spans="1:16" x14ac:dyDescent="0.35">
      <c r="A18">
        <f t="shared" si="1"/>
        <v>17</v>
      </c>
      <c r="B18">
        <f>B17+1.2</f>
        <v>37.141000000000005</v>
      </c>
      <c r="C18">
        <v>0</v>
      </c>
      <c r="G18">
        <v>1</v>
      </c>
      <c r="H18">
        <v>1</v>
      </c>
      <c r="I18">
        <f t="shared" si="4"/>
        <v>115</v>
      </c>
      <c r="J18">
        <v>16</v>
      </c>
      <c r="K18">
        <f t="shared" si="2"/>
        <v>17</v>
      </c>
      <c r="L18">
        <v>10000</v>
      </c>
      <c r="M18">
        <v>0</v>
      </c>
      <c r="N18">
        <f t="shared" si="5"/>
        <v>30.555555555555554</v>
      </c>
      <c r="P18">
        <f t="shared" si="0"/>
        <v>1.2000000000000028</v>
      </c>
    </row>
    <row r="19" spans="1:16" x14ac:dyDescent="0.35">
      <c r="A19">
        <f t="shared" si="1"/>
        <v>18</v>
      </c>
      <c r="B19">
        <f>B18+0.586</f>
        <v>37.727000000000004</v>
      </c>
      <c r="C19">
        <v>0</v>
      </c>
      <c r="G19">
        <v>1</v>
      </c>
      <c r="H19">
        <v>-1</v>
      </c>
      <c r="I19">
        <f t="shared" si="4"/>
        <v>116</v>
      </c>
      <c r="J19">
        <v>17</v>
      </c>
      <c r="K19">
        <f t="shared" si="2"/>
        <v>18</v>
      </c>
      <c r="L19">
        <v>10000</v>
      </c>
      <c r="M19">
        <v>0</v>
      </c>
      <c r="N19">
        <f t="shared" si="5"/>
        <v>30.555555555555554</v>
      </c>
      <c r="P19">
        <f t="shared" si="0"/>
        <v>0.58599999999999852</v>
      </c>
    </row>
    <row r="20" spans="1:16" x14ac:dyDescent="0.35">
      <c r="A20">
        <f t="shared" si="1"/>
        <v>19</v>
      </c>
      <c r="B20">
        <f>B19+0.449</f>
        <v>38.176000000000002</v>
      </c>
      <c r="C20">
        <v>0</v>
      </c>
      <c r="D20" t="s">
        <v>30</v>
      </c>
      <c r="I20">
        <f t="shared" si="4"/>
        <v>117</v>
      </c>
      <c r="J20">
        <v>18</v>
      </c>
      <c r="K20">
        <f t="shared" si="2"/>
        <v>19</v>
      </c>
      <c r="L20">
        <v>10000</v>
      </c>
      <c r="M20">
        <v>0</v>
      </c>
      <c r="N20">
        <f t="shared" si="5"/>
        <v>30.555555555555554</v>
      </c>
      <c r="P20">
        <f t="shared" si="0"/>
        <v>0.44899999999999807</v>
      </c>
    </row>
    <row r="21" spans="1:16" x14ac:dyDescent="0.35">
      <c r="A21">
        <f t="shared" si="1"/>
        <v>20</v>
      </c>
      <c r="B21">
        <f>B20+0.023</f>
        <v>38.199000000000005</v>
      </c>
      <c r="C21">
        <v>0</v>
      </c>
      <c r="G21">
        <v>1</v>
      </c>
      <c r="H21">
        <v>0</v>
      </c>
      <c r="I21">
        <f t="shared" si="4"/>
        <v>118</v>
      </c>
      <c r="J21">
        <v>19</v>
      </c>
      <c r="K21">
        <f t="shared" si="2"/>
        <v>20</v>
      </c>
      <c r="L21">
        <v>10000</v>
      </c>
      <c r="M21">
        <v>0</v>
      </c>
      <c r="N21">
        <f t="shared" si="5"/>
        <v>30.555555555555554</v>
      </c>
      <c r="P21">
        <f t="shared" si="0"/>
        <v>2.300000000000324E-2</v>
      </c>
    </row>
    <row r="94" spans="5:5" x14ac:dyDescent="0.35">
      <c r="E94" t="s">
        <v>50</v>
      </c>
    </row>
  </sheetData>
  <autoFilter ref="A1:N21" xr:uid="{C6688EEB-6CD2-4B32-AA5B-1E299B900F67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ECAB-2993-40D5-A40D-DF3809E20573}">
  <dimension ref="A1:P94"/>
  <sheetViews>
    <sheetView zoomScale="70" zoomScaleNormal="70" workbookViewId="0">
      <selection activeCell="E1" sqref="E1:E1048576"/>
    </sheetView>
  </sheetViews>
  <sheetFormatPr defaultRowHeight="14.5" x14ac:dyDescent="0.35"/>
  <cols>
    <col min="4" max="4" width="11.54296875" bestFit="1" customWidth="1"/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32.72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32.83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11" si="0">B3-B2</f>
        <v>0.10999999999999943</v>
      </c>
    </row>
    <row r="4" spans="1:16" x14ac:dyDescent="0.35">
      <c r="A4">
        <f t="shared" ref="A4:A11" si="1">A3+1</f>
        <v>3</v>
      </c>
      <c r="B4">
        <v>32.837000000000003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11" si="2">A4</f>
        <v>3</v>
      </c>
      <c r="L4">
        <v>10000</v>
      </c>
      <c r="M4">
        <v>0</v>
      </c>
      <c r="N4">
        <f t="shared" ref="N4:N6" si="3">60/3.6</f>
        <v>16.666666666666668</v>
      </c>
      <c r="P4">
        <f t="shared" si="0"/>
        <v>7.0000000000050022E-3</v>
      </c>
    </row>
    <row r="5" spans="1:16" x14ac:dyDescent="0.35">
      <c r="A5">
        <f t="shared" si="1"/>
        <v>4</v>
      </c>
      <c r="B5">
        <v>32.987000000000002</v>
      </c>
      <c r="C5">
        <v>0</v>
      </c>
      <c r="G5">
        <v>1</v>
      </c>
      <c r="H5">
        <v>-1</v>
      </c>
      <c r="I5">
        <f t="shared" ref="I5:I11" si="4">I4+1</f>
        <v>102</v>
      </c>
      <c r="J5">
        <v>3</v>
      </c>
      <c r="K5">
        <f t="shared" si="2"/>
        <v>4</v>
      </c>
      <c r="L5">
        <v>10000</v>
      </c>
      <c r="M5">
        <v>0</v>
      </c>
      <c r="N5">
        <f t="shared" si="3"/>
        <v>16.666666666666668</v>
      </c>
      <c r="P5">
        <f t="shared" si="0"/>
        <v>0.14999999999999858</v>
      </c>
    </row>
    <row r="6" spans="1:16" x14ac:dyDescent="0.35">
      <c r="A6">
        <f t="shared" si="1"/>
        <v>5</v>
      </c>
      <c r="B6">
        <v>33.143000000000001</v>
      </c>
      <c r="C6">
        <v>0</v>
      </c>
      <c r="D6" t="s">
        <v>29</v>
      </c>
      <c r="I6">
        <f t="shared" si="4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16.666666666666668</v>
      </c>
      <c r="P6">
        <f t="shared" si="0"/>
        <v>0.15599999999999881</v>
      </c>
    </row>
    <row r="7" spans="1:16" x14ac:dyDescent="0.35">
      <c r="A7">
        <f t="shared" si="1"/>
        <v>6</v>
      </c>
      <c r="B7">
        <v>33.253</v>
      </c>
      <c r="C7">
        <v>0</v>
      </c>
      <c r="I7">
        <f t="shared" si="4"/>
        <v>104</v>
      </c>
      <c r="J7">
        <v>5</v>
      </c>
      <c r="K7">
        <f t="shared" si="2"/>
        <v>6</v>
      </c>
      <c r="L7">
        <v>10000</v>
      </c>
      <c r="M7">
        <v>0</v>
      </c>
      <c r="N7">
        <f>30/3.6</f>
        <v>8.3333333333333339</v>
      </c>
      <c r="P7">
        <f t="shared" si="0"/>
        <v>0.10999999999999943</v>
      </c>
    </row>
    <row r="8" spans="1:16" x14ac:dyDescent="0.35">
      <c r="A8">
        <f t="shared" si="1"/>
        <v>7</v>
      </c>
      <c r="B8">
        <v>33.375999999999998</v>
      </c>
      <c r="C8">
        <v>0</v>
      </c>
      <c r="G8">
        <v>1</v>
      </c>
      <c r="H8">
        <v>1</v>
      </c>
      <c r="I8">
        <f t="shared" si="4"/>
        <v>105</v>
      </c>
      <c r="J8">
        <v>6</v>
      </c>
      <c r="K8">
        <f t="shared" si="2"/>
        <v>7</v>
      </c>
      <c r="L8">
        <v>10000</v>
      </c>
      <c r="M8">
        <v>0</v>
      </c>
      <c r="N8">
        <f t="shared" ref="N8:N11" si="5">30/3.6</f>
        <v>8.3333333333333339</v>
      </c>
      <c r="P8">
        <f t="shared" si="0"/>
        <v>0.12299999999999756</v>
      </c>
    </row>
    <row r="9" spans="1:16" x14ac:dyDescent="0.35">
      <c r="A9">
        <f t="shared" si="1"/>
        <v>8</v>
      </c>
      <c r="B9">
        <v>33.457999999999998</v>
      </c>
      <c r="C9">
        <v>0</v>
      </c>
      <c r="I9">
        <f t="shared" si="4"/>
        <v>106</v>
      </c>
      <c r="J9">
        <v>7</v>
      </c>
      <c r="K9">
        <f t="shared" si="2"/>
        <v>8</v>
      </c>
      <c r="L9">
        <v>10000</v>
      </c>
      <c r="M9">
        <v>0</v>
      </c>
      <c r="N9">
        <f t="shared" si="5"/>
        <v>8.3333333333333339</v>
      </c>
      <c r="P9">
        <f t="shared" si="0"/>
        <v>8.2000000000000739E-2</v>
      </c>
    </row>
    <row r="10" spans="1:16" x14ac:dyDescent="0.35">
      <c r="A10">
        <f t="shared" si="1"/>
        <v>9</v>
      </c>
      <c r="B10">
        <v>33.619999999999997</v>
      </c>
      <c r="C10">
        <v>0</v>
      </c>
      <c r="F10">
        <v>1</v>
      </c>
      <c r="G10">
        <v>1</v>
      </c>
      <c r="H10">
        <v>1</v>
      </c>
      <c r="I10">
        <f t="shared" si="4"/>
        <v>107</v>
      </c>
      <c r="J10">
        <v>8</v>
      </c>
      <c r="K10">
        <f t="shared" si="2"/>
        <v>9</v>
      </c>
      <c r="L10">
        <v>10000</v>
      </c>
      <c r="M10">
        <v>0</v>
      </c>
      <c r="N10">
        <f t="shared" si="5"/>
        <v>8.3333333333333339</v>
      </c>
      <c r="P10">
        <f t="shared" si="0"/>
        <v>0.16199999999999903</v>
      </c>
    </row>
    <row r="11" spans="1:16" x14ac:dyDescent="0.35">
      <c r="A11">
        <f t="shared" si="1"/>
        <v>10</v>
      </c>
      <c r="B11">
        <v>33.65</v>
      </c>
      <c r="C11">
        <v>0</v>
      </c>
      <c r="G11">
        <v>1</v>
      </c>
      <c r="H11">
        <v>0</v>
      </c>
      <c r="I11">
        <f t="shared" si="4"/>
        <v>108</v>
      </c>
      <c r="J11">
        <v>9</v>
      </c>
      <c r="K11">
        <f t="shared" si="2"/>
        <v>10</v>
      </c>
      <c r="L11">
        <v>10000</v>
      </c>
      <c r="M11">
        <v>0</v>
      </c>
      <c r="N11">
        <f t="shared" si="5"/>
        <v>8.3333333333333339</v>
      </c>
      <c r="P11">
        <f t="shared" si="0"/>
        <v>3.0000000000001137E-2</v>
      </c>
    </row>
    <row r="94" spans="5:5" x14ac:dyDescent="0.35">
      <c r="E94" t="s">
        <v>50</v>
      </c>
    </row>
  </sheetData>
  <autoFilter ref="A1:N11" xr:uid="{6659ECAB-2993-40D5-A40D-DF3809E20573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19DD-4C2B-402F-946C-3324597545A8}">
  <dimension ref="A1:P94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33.033999999999999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33.143000000000001</v>
      </c>
      <c r="C3">
        <v>0</v>
      </c>
      <c r="D3" t="s">
        <v>29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>B3-B2</f>
        <v>0.10900000000000176</v>
      </c>
    </row>
    <row r="4" spans="1:16" x14ac:dyDescent="0.35">
      <c r="A4">
        <f t="shared" ref="A4:A7" si="0">A3+1</f>
        <v>3</v>
      </c>
      <c r="B4">
        <v>33.253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 t="shared" ref="K4:K5" si="1">A4</f>
        <v>3</v>
      </c>
      <c r="L4">
        <v>10000</v>
      </c>
      <c r="M4">
        <v>0</v>
      </c>
      <c r="N4">
        <f>30/3.6</f>
        <v>8.3333333333333339</v>
      </c>
      <c r="P4">
        <f>B4-B3</f>
        <v>0.10999999999999943</v>
      </c>
    </row>
    <row r="5" spans="1:16" x14ac:dyDescent="0.35">
      <c r="A5">
        <f t="shared" si="0"/>
        <v>4</v>
      </c>
      <c r="B5">
        <v>33.338999999999999</v>
      </c>
      <c r="C5">
        <v>0</v>
      </c>
      <c r="G5">
        <v>1</v>
      </c>
      <c r="H5">
        <v>1</v>
      </c>
      <c r="I5">
        <f t="shared" ref="I5:I7" si="2">I4+1</f>
        <v>102</v>
      </c>
      <c r="J5">
        <v>3</v>
      </c>
      <c r="K5">
        <f t="shared" si="1"/>
        <v>4</v>
      </c>
      <c r="L5">
        <v>10000</v>
      </c>
      <c r="M5">
        <v>0</v>
      </c>
      <c r="N5">
        <f t="shared" ref="N5:N7" si="3">30/3.6</f>
        <v>8.3333333333333339</v>
      </c>
      <c r="P5">
        <f>B5-B4</f>
        <v>8.5999999999998522E-2</v>
      </c>
    </row>
    <row r="6" spans="1:16" x14ac:dyDescent="0.35">
      <c r="A6">
        <f t="shared" si="0"/>
        <v>5</v>
      </c>
      <c r="B6">
        <v>33.341000000000001</v>
      </c>
      <c r="C6">
        <v>0</v>
      </c>
      <c r="F6">
        <v>1</v>
      </c>
      <c r="I6">
        <f t="shared" si="2"/>
        <v>103</v>
      </c>
      <c r="J6">
        <v>4</v>
      </c>
      <c r="K6">
        <f t="shared" ref="K6:K7" si="4">A6</f>
        <v>5</v>
      </c>
      <c r="L6">
        <v>10000</v>
      </c>
      <c r="M6">
        <v>0</v>
      </c>
      <c r="N6">
        <f t="shared" si="3"/>
        <v>8.3333333333333339</v>
      </c>
      <c r="P6">
        <f>B6-B5</f>
        <v>2.0000000000024443E-3</v>
      </c>
    </row>
    <row r="7" spans="1:16" x14ac:dyDescent="0.35">
      <c r="A7">
        <f t="shared" si="0"/>
        <v>6</v>
      </c>
      <c r="B7">
        <v>33.5</v>
      </c>
      <c r="C7">
        <v>0</v>
      </c>
      <c r="G7">
        <v>1</v>
      </c>
      <c r="H7">
        <v>0</v>
      </c>
      <c r="I7">
        <f t="shared" si="2"/>
        <v>104</v>
      </c>
      <c r="J7">
        <v>5</v>
      </c>
      <c r="K7">
        <f t="shared" si="4"/>
        <v>6</v>
      </c>
      <c r="L7">
        <v>10000</v>
      </c>
      <c r="M7">
        <v>0</v>
      </c>
      <c r="N7">
        <f t="shared" si="3"/>
        <v>8.3333333333333339</v>
      </c>
      <c r="P7">
        <f>B7-B6</f>
        <v>0.15899999999999892</v>
      </c>
    </row>
    <row r="94" spans="5:5" x14ac:dyDescent="0.35">
      <c r="E94" t="s">
        <v>50</v>
      </c>
    </row>
  </sheetData>
  <autoFilter ref="A1:N7" xr:uid="{2E0719DD-4C2B-402F-946C-3324597545A8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311-C939-402E-9B76-27E951A007DD}">
  <dimension ref="A1:P94"/>
  <sheetViews>
    <sheetView zoomScale="70" zoomScaleNormal="70" workbookViewId="0">
      <selection activeCell="A2" sqref="A2:B10"/>
    </sheetView>
  </sheetViews>
  <sheetFormatPr defaultRowHeight="14.5" x14ac:dyDescent="0.35"/>
  <cols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45.27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45.350999999999999</v>
      </c>
      <c r="C3">
        <v>0</v>
      </c>
      <c r="F3">
        <v>1</v>
      </c>
      <c r="G3">
        <v>1</v>
      </c>
      <c r="H3">
        <v>-1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10" si="0">B3-B2</f>
        <v>8.0999999999995964E-2</v>
      </c>
    </row>
    <row r="4" spans="1:16" x14ac:dyDescent="0.35">
      <c r="A4">
        <f>A3+1</f>
        <v>3</v>
      </c>
      <c r="B4">
        <v>45.36</v>
      </c>
      <c r="C4">
        <v>0</v>
      </c>
      <c r="I4">
        <f>I3+1</f>
        <v>101</v>
      </c>
      <c r="J4">
        <v>2</v>
      </c>
      <c r="K4">
        <f>A4</f>
        <v>3</v>
      </c>
      <c r="L4">
        <v>10001</v>
      </c>
      <c r="M4">
        <v>0</v>
      </c>
      <c r="N4">
        <f>60/3.6</f>
        <v>16.666666666666668</v>
      </c>
      <c r="P4">
        <f t="shared" si="0"/>
        <v>9.0000000000003411E-3</v>
      </c>
    </row>
    <row r="5" spans="1:16" x14ac:dyDescent="0.35">
      <c r="A5">
        <f t="shared" ref="A5:A7" si="1">A4+1</f>
        <v>4</v>
      </c>
      <c r="B5">
        <v>45.9</v>
      </c>
      <c r="C5">
        <v>0</v>
      </c>
      <c r="I5">
        <f t="shared" ref="I5:I7" si="2">I4+1</f>
        <v>102</v>
      </c>
      <c r="J5">
        <v>3</v>
      </c>
      <c r="K5">
        <f t="shared" ref="K5:K7" si="3">A5</f>
        <v>4</v>
      </c>
      <c r="L5">
        <v>10002</v>
      </c>
      <c r="M5">
        <v>0</v>
      </c>
      <c r="N5">
        <f t="shared" ref="N5:N10" si="4">140/3.6</f>
        <v>38.888888888888886</v>
      </c>
      <c r="P5">
        <f t="shared" si="0"/>
        <v>0.53999999999999915</v>
      </c>
    </row>
    <row r="6" spans="1:16" x14ac:dyDescent="0.35">
      <c r="A6">
        <f t="shared" si="1"/>
        <v>5</v>
      </c>
      <c r="B6">
        <v>45.942999999999998</v>
      </c>
      <c r="C6">
        <v>0</v>
      </c>
      <c r="I6">
        <f t="shared" si="2"/>
        <v>103</v>
      </c>
      <c r="J6">
        <v>4</v>
      </c>
      <c r="K6">
        <f t="shared" si="3"/>
        <v>5</v>
      </c>
      <c r="L6">
        <v>10003</v>
      </c>
      <c r="M6">
        <v>0</v>
      </c>
      <c r="N6">
        <f t="shared" si="4"/>
        <v>38.888888888888886</v>
      </c>
      <c r="P6">
        <f t="shared" si="0"/>
        <v>4.2999999999999261E-2</v>
      </c>
    </row>
    <row r="7" spans="1:16" x14ac:dyDescent="0.35">
      <c r="A7">
        <f t="shared" si="1"/>
        <v>6</v>
      </c>
      <c r="B7">
        <v>46.052</v>
      </c>
      <c r="C7">
        <v>0</v>
      </c>
      <c r="D7" t="s">
        <v>34</v>
      </c>
      <c r="I7">
        <f t="shared" si="2"/>
        <v>104</v>
      </c>
      <c r="J7">
        <v>5</v>
      </c>
      <c r="K7">
        <f t="shared" si="3"/>
        <v>6</v>
      </c>
      <c r="L7">
        <v>10004</v>
      </c>
      <c r="M7">
        <v>0</v>
      </c>
      <c r="N7">
        <f t="shared" si="4"/>
        <v>38.888888888888886</v>
      </c>
      <c r="P7">
        <f t="shared" si="0"/>
        <v>0.10900000000000176</v>
      </c>
    </row>
    <row r="8" spans="1:16" x14ac:dyDescent="0.35">
      <c r="A8">
        <f>A7+1</f>
        <v>7</v>
      </c>
      <c r="B8">
        <v>46.097000000000001</v>
      </c>
      <c r="C8">
        <v>0</v>
      </c>
      <c r="G8">
        <v>1</v>
      </c>
      <c r="H8">
        <v>1</v>
      </c>
      <c r="I8">
        <f t="shared" ref="I8:I10" si="5">I7+1</f>
        <v>105</v>
      </c>
      <c r="J8">
        <v>6</v>
      </c>
      <c r="K8">
        <f t="shared" ref="K8:K10" si="6">A8</f>
        <v>7</v>
      </c>
      <c r="L8">
        <v>10004</v>
      </c>
      <c r="M8">
        <v>0</v>
      </c>
      <c r="N8">
        <f t="shared" si="4"/>
        <v>38.888888888888886</v>
      </c>
      <c r="P8">
        <f t="shared" si="0"/>
        <v>4.5000000000001705E-2</v>
      </c>
    </row>
    <row r="9" spans="1:16" x14ac:dyDescent="0.35">
      <c r="A9">
        <f>A8+1</f>
        <v>8</v>
      </c>
      <c r="B9">
        <v>46.100999999999999</v>
      </c>
      <c r="C9">
        <v>0</v>
      </c>
      <c r="F9">
        <v>1</v>
      </c>
      <c r="I9">
        <f t="shared" si="5"/>
        <v>106</v>
      </c>
      <c r="J9">
        <v>7</v>
      </c>
      <c r="K9">
        <f t="shared" si="6"/>
        <v>8</v>
      </c>
      <c r="L9">
        <v>10004</v>
      </c>
      <c r="M9">
        <v>0</v>
      </c>
      <c r="N9">
        <f t="shared" si="4"/>
        <v>38.888888888888886</v>
      </c>
      <c r="P9">
        <f t="shared" si="0"/>
        <v>3.9999999999977831E-3</v>
      </c>
    </row>
    <row r="10" spans="1:16" x14ac:dyDescent="0.35">
      <c r="A10">
        <f t="shared" ref="A10" si="7">A9+1</f>
        <v>9</v>
      </c>
      <c r="B10">
        <v>46.2</v>
      </c>
      <c r="C10">
        <v>0</v>
      </c>
      <c r="G10">
        <v>1</v>
      </c>
      <c r="H10">
        <v>0</v>
      </c>
      <c r="I10">
        <f t="shared" si="5"/>
        <v>107</v>
      </c>
      <c r="J10">
        <v>8</v>
      </c>
      <c r="K10">
        <f t="shared" si="6"/>
        <v>9</v>
      </c>
      <c r="L10">
        <v>10004</v>
      </c>
      <c r="M10">
        <v>0</v>
      </c>
      <c r="N10">
        <f t="shared" si="4"/>
        <v>38.888888888888886</v>
      </c>
      <c r="P10">
        <f t="shared" si="0"/>
        <v>9.9000000000003752E-2</v>
      </c>
    </row>
    <row r="94" spans="5:5" x14ac:dyDescent="0.35">
      <c r="E94" t="s">
        <v>50</v>
      </c>
    </row>
  </sheetData>
  <autoFilter ref="A1:N10" xr:uid="{8823A311-C939-402E-9B76-27E951A007DD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7F52-B6D2-469A-875E-2D100BBACB61}">
  <dimension ref="A1:P94"/>
  <sheetViews>
    <sheetView zoomScale="70" zoomScaleNormal="70" workbookViewId="0">
      <selection activeCell="D5" sqref="D5"/>
    </sheetView>
  </sheetViews>
  <sheetFormatPr defaultRowHeight="14.5" x14ac:dyDescent="0.35"/>
  <cols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44.91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44.96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8" si="0">B3-B2</f>
        <v>5.0000000000004263E-2</v>
      </c>
    </row>
    <row r="4" spans="1:16" x14ac:dyDescent="0.35">
      <c r="A4">
        <f t="shared" ref="A4:A8" si="1">A3+1</f>
        <v>3</v>
      </c>
      <c r="B4">
        <v>45.04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>A4</f>
        <v>3</v>
      </c>
      <c r="L4">
        <v>10000</v>
      </c>
      <c r="M4">
        <v>0</v>
      </c>
      <c r="N4">
        <f>60/3.6</f>
        <v>16.666666666666668</v>
      </c>
      <c r="P4">
        <f t="shared" si="0"/>
        <v>7.9999999999998295E-2</v>
      </c>
    </row>
    <row r="5" spans="1:16" x14ac:dyDescent="0.35">
      <c r="A5">
        <f t="shared" si="1"/>
        <v>4</v>
      </c>
      <c r="B5">
        <v>45.27</v>
      </c>
      <c r="C5">
        <v>0</v>
      </c>
      <c r="D5" t="s">
        <v>40</v>
      </c>
      <c r="E5" t="s">
        <v>58</v>
      </c>
      <c r="I5">
        <f t="shared" ref="I5:I7" si="2">I4+1</f>
        <v>102</v>
      </c>
      <c r="J5">
        <f t="shared" ref="J5:J7" si="3">J4+1</f>
        <v>3</v>
      </c>
      <c r="K5">
        <f t="shared" ref="K5:K7" si="4">A5</f>
        <v>4</v>
      </c>
      <c r="L5">
        <v>10000</v>
      </c>
      <c r="M5">
        <v>0</v>
      </c>
      <c r="N5">
        <f t="shared" ref="N5:N8" si="5">60/3.6</f>
        <v>16.666666666666668</v>
      </c>
      <c r="P5">
        <f t="shared" si="0"/>
        <v>0.23000000000000398</v>
      </c>
    </row>
    <row r="6" spans="1:16" x14ac:dyDescent="0.35">
      <c r="A6">
        <f t="shared" si="1"/>
        <v>5</v>
      </c>
      <c r="B6">
        <v>45.79</v>
      </c>
      <c r="C6">
        <v>0</v>
      </c>
      <c r="G6">
        <v>1</v>
      </c>
      <c r="H6">
        <v>1</v>
      </c>
      <c r="I6">
        <f t="shared" si="2"/>
        <v>103</v>
      </c>
      <c r="J6">
        <f t="shared" si="3"/>
        <v>4</v>
      </c>
      <c r="K6">
        <f t="shared" si="4"/>
        <v>5</v>
      </c>
      <c r="L6">
        <v>10000</v>
      </c>
      <c r="M6">
        <v>0</v>
      </c>
      <c r="N6">
        <f t="shared" si="5"/>
        <v>16.666666666666668</v>
      </c>
      <c r="P6">
        <f t="shared" si="0"/>
        <v>0.51999999999999602</v>
      </c>
    </row>
    <row r="7" spans="1:16" x14ac:dyDescent="0.35">
      <c r="A7">
        <f t="shared" si="1"/>
        <v>6</v>
      </c>
      <c r="B7">
        <v>45.83</v>
      </c>
      <c r="C7">
        <v>0</v>
      </c>
      <c r="I7">
        <f t="shared" si="2"/>
        <v>104</v>
      </c>
      <c r="J7">
        <f t="shared" si="3"/>
        <v>5</v>
      </c>
      <c r="K7">
        <f t="shared" si="4"/>
        <v>6</v>
      </c>
      <c r="L7">
        <v>10000</v>
      </c>
      <c r="M7">
        <v>0</v>
      </c>
      <c r="N7">
        <f t="shared" si="5"/>
        <v>16.666666666666668</v>
      </c>
      <c r="P7">
        <f t="shared" si="0"/>
        <v>3.9999999999999147E-2</v>
      </c>
    </row>
    <row r="8" spans="1:16" x14ac:dyDescent="0.35">
      <c r="A8">
        <f t="shared" si="1"/>
        <v>7</v>
      </c>
      <c r="B8">
        <v>45.9</v>
      </c>
      <c r="C8">
        <v>0</v>
      </c>
      <c r="G8">
        <v>1</v>
      </c>
      <c r="H8">
        <v>0</v>
      </c>
      <c r="I8">
        <f t="shared" ref="I8" si="6">I7+1</f>
        <v>105</v>
      </c>
      <c r="J8">
        <f t="shared" ref="J8" si="7">J7+1</f>
        <v>6</v>
      </c>
      <c r="K8">
        <f t="shared" ref="K8" si="8">A8</f>
        <v>7</v>
      </c>
      <c r="L8">
        <v>10000</v>
      </c>
      <c r="M8">
        <v>0</v>
      </c>
      <c r="N8">
        <f t="shared" si="5"/>
        <v>16.666666666666668</v>
      </c>
      <c r="P8">
        <f t="shared" si="0"/>
        <v>7.0000000000000284E-2</v>
      </c>
    </row>
    <row r="94" spans="5:5" x14ac:dyDescent="0.35">
      <c r="E94" t="s">
        <v>50</v>
      </c>
    </row>
  </sheetData>
  <autoFilter ref="A1:N8" xr:uid="{E50E7F52-B6D2-469A-875E-2D100BBACB61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9A94-511E-40D3-A125-9AEBE2E3B3EE}">
  <dimension ref="A1:P94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45.9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45.942999999999998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 t="shared" ref="N3:N5" si="0">140/3.6</f>
        <v>38.888888888888886</v>
      </c>
      <c r="P3">
        <f>B3-B2</f>
        <v>4.2999999999999261E-2</v>
      </c>
    </row>
    <row r="4" spans="1:16" x14ac:dyDescent="0.35">
      <c r="A4">
        <f>A3+1</f>
        <v>3</v>
      </c>
      <c r="B4">
        <v>46.052</v>
      </c>
      <c r="C4">
        <v>0</v>
      </c>
      <c r="F4">
        <v>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si="0"/>
        <v>38.888888888888886</v>
      </c>
      <c r="P4">
        <f>B4-B3</f>
        <v>0.10900000000000176</v>
      </c>
    </row>
    <row r="5" spans="1:16" x14ac:dyDescent="0.35">
      <c r="A5">
        <f t="shared" ref="A5" si="1">A4+1</f>
        <v>4</v>
      </c>
      <c r="B5">
        <v>46.097999999999999</v>
      </c>
      <c r="C5">
        <v>0</v>
      </c>
      <c r="G5">
        <v>1</v>
      </c>
      <c r="H5">
        <v>0</v>
      </c>
      <c r="I5">
        <f t="shared" ref="I5" si="2">I4+1</f>
        <v>102</v>
      </c>
      <c r="J5">
        <v>3</v>
      </c>
      <c r="K5">
        <f t="shared" ref="K5" si="3">A5</f>
        <v>4</v>
      </c>
      <c r="L5">
        <v>10000</v>
      </c>
      <c r="M5">
        <v>0</v>
      </c>
      <c r="N5">
        <f t="shared" si="0"/>
        <v>38.888888888888886</v>
      </c>
      <c r="P5">
        <f>B5-B4</f>
        <v>4.5999999999999375E-2</v>
      </c>
    </row>
    <row r="94" spans="5:5" x14ac:dyDescent="0.35">
      <c r="E94" t="s">
        <v>50</v>
      </c>
    </row>
  </sheetData>
  <autoFilter ref="A1:N5" xr:uid="{56C49A94-511E-40D3-A125-9AEBE2E3B3EE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54C3-108F-4702-AC3A-5CB5FF23F436}">
  <dimension ref="A1:P94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6.8164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46.1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46.218000000000004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 t="shared" ref="N3:N4" si="0">140/3.6</f>
        <v>38.888888888888886</v>
      </c>
      <c r="P3">
        <f>B3-B2</f>
        <v>0.1180000000000021</v>
      </c>
    </row>
    <row r="4" spans="1:16" x14ac:dyDescent="0.35">
      <c r="A4">
        <f>A3+1</f>
        <v>3</v>
      </c>
      <c r="B4">
        <v>46.3</v>
      </c>
      <c r="C4">
        <v>0</v>
      </c>
      <c r="G4">
        <v>1</v>
      </c>
      <c r="H4">
        <v>0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si="0"/>
        <v>38.888888888888886</v>
      </c>
      <c r="P4">
        <f>B4-B3</f>
        <v>8.1999999999993634E-2</v>
      </c>
    </row>
    <row r="94" spans="5:5" x14ac:dyDescent="0.35">
      <c r="E94" t="s">
        <v>50</v>
      </c>
    </row>
  </sheetData>
  <autoFilter ref="A1:N4" xr:uid="{B4AD54C3-108F-4702-AC3A-5CB5FF23F436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DFDE-BD1B-488F-A3F2-937496B9D1C5}">
  <dimension ref="A1:P10"/>
  <sheetViews>
    <sheetView zoomScale="70" zoomScaleNormal="70" workbookViewId="0">
      <selection activeCell="I3" sqref="I3:N10"/>
    </sheetView>
  </sheetViews>
  <sheetFormatPr defaultRowHeight="14.5" x14ac:dyDescent="0.35"/>
  <cols>
    <col min="5" max="5" width="17.63281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32.4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32.484000000000002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10" si="0">B3-B2</f>
        <v>8.4000000000003183E-2</v>
      </c>
    </row>
    <row r="4" spans="1:16" x14ac:dyDescent="0.35">
      <c r="A4">
        <f>A3+1</f>
        <v>3</v>
      </c>
      <c r="B4">
        <v>32.5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" si="1">A4</f>
        <v>3</v>
      </c>
      <c r="L4">
        <v>10000</v>
      </c>
      <c r="M4">
        <v>0</v>
      </c>
      <c r="N4">
        <f>30/3.6</f>
        <v>8.3333333333333339</v>
      </c>
      <c r="P4">
        <f t="shared" si="0"/>
        <v>1.5999999999998238E-2</v>
      </c>
    </row>
    <row r="5" spans="1:16" x14ac:dyDescent="0.35">
      <c r="A5">
        <f t="shared" ref="A5:A10" si="2">A4+1</f>
        <v>4</v>
      </c>
      <c r="B5">
        <v>32.65</v>
      </c>
      <c r="C5">
        <v>0</v>
      </c>
      <c r="F5">
        <v>1</v>
      </c>
      <c r="I5">
        <f t="shared" ref="I5:I10" si="3">I4+1</f>
        <v>102</v>
      </c>
      <c r="J5">
        <f t="shared" ref="J5:J10" si="4">J4+1</f>
        <v>3</v>
      </c>
      <c r="K5">
        <f t="shared" ref="K5:K10" si="5">A5</f>
        <v>4</v>
      </c>
      <c r="L5">
        <v>10000</v>
      </c>
      <c r="M5">
        <v>0</v>
      </c>
      <c r="N5">
        <f>30/3.6</f>
        <v>8.3333333333333339</v>
      </c>
      <c r="P5">
        <f t="shared" si="0"/>
        <v>0.14999999999999858</v>
      </c>
    </row>
    <row r="6" spans="1:16" x14ac:dyDescent="0.35">
      <c r="A6">
        <f t="shared" si="2"/>
        <v>5</v>
      </c>
      <c r="B6">
        <v>32.68</v>
      </c>
      <c r="C6">
        <v>0</v>
      </c>
      <c r="I6">
        <f t="shared" si="3"/>
        <v>103</v>
      </c>
      <c r="J6">
        <f t="shared" si="4"/>
        <v>4</v>
      </c>
      <c r="K6">
        <f t="shared" si="5"/>
        <v>5</v>
      </c>
      <c r="L6">
        <v>10000</v>
      </c>
      <c r="M6">
        <v>0</v>
      </c>
      <c r="N6">
        <f t="shared" ref="N6:N10" si="6">30/3.6</f>
        <v>8.3333333333333339</v>
      </c>
      <c r="P6">
        <f t="shared" si="0"/>
        <v>3.0000000000001137E-2</v>
      </c>
    </row>
    <row r="7" spans="1:16" x14ac:dyDescent="0.35">
      <c r="A7">
        <f t="shared" si="2"/>
        <v>6</v>
      </c>
      <c r="B7">
        <v>32.72</v>
      </c>
      <c r="C7">
        <v>0</v>
      </c>
      <c r="I7">
        <f t="shared" si="3"/>
        <v>104</v>
      </c>
      <c r="J7">
        <f t="shared" si="4"/>
        <v>5</v>
      </c>
      <c r="K7">
        <f t="shared" si="5"/>
        <v>6</v>
      </c>
      <c r="L7">
        <v>10000</v>
      </c>
      <c r="M7">
        <v>0</v>
      </c>
      <c r="N7">
        <f t="shared" si="6"/>
        <v>8.3333333333333339</v>
      </c>
      <c r="P7">
        <f t="shared" si="0"/>
        <v>3.9999999999999147E-2</v>
      </c>
    </row>
    <row r="8" spans="1:16" x14ac:dyDescent="0.35">
      <c r="A8">
        <f t="shared" si="2"/>
        <v>7</v>
      </c>
      <c r="B8">
        <v>32.774000000000001</v>
      </c>
      <c r="C8">
        <v>0</v>
      </c>
      <c r="G8">
        <v>1</v>
      </c>
      <c r="H8">
        <v>-1</v>
      </c>
      <c r="I8">
        <f t="shared" si="3"/>
        <v>105</v>
      </c>
      <c r="J8">
        <f t="shared" si="4"/>
        <v>6</v>
      </c>
      <c r="K8">
        <f t="shared" si="5"/>
        <v>7</v>
      </c>
      <c r="L8">
        <v>10000</v>
      </c>
      <c r="M8">
        <v>0</v>
      </c>
      <c r="N8">
        <f t="shared" si="6"/>
        <v>8.3333333333333339</v>
      </c>
      <c r="P8">
        <f t="shared" si="0"/>
        <v>5.4000000000002046E-2</v>
      </c>
    </row>
    <row r="9" spans="1:16" x14ac:dyDescent="0.35">
      <c r="A9">
        <f t="shared" si="2"/>
        <v>8</v>
      </c>
      <c r="B9">
        <v>32.97</v>
      </c>
      <c r="C9">
        <v>0</v>
      </c>
      <c r="D9" t="s">
        <v>42</v>
      </c>
      <c r="E9" t="s">
        <v>47</v>
      </c>
      <c r="I9">
        <f t="shared" si="3"/>
        <v>106</v>
      </c>
      <c r="J9">
        <f t="shared" si="4"/>
        <v>7</v>
      </c>
      <c r="K9">
        <f t="shared" si="5"/>
        <v>8</v>
      </c>
      <c r="L9">
        <v>10000</v>
      </c>
      <c r="M9">
        <v>0</v>
      </c>
      <c r="N9">
        <f t="shared" si="6"/>
        <v>8.3333333333333339</v>
      </c>
      <c r="P9">
        <f t="shared" si="0"/>
        <v>0.19599999999999795</v>
      </c>
    </row>
    <row r="10" spans="1:16" x14ac:dyDescent="0.35">
      <c r="A10">
        <f t="shared" si="2"/>
        <v>9</v>
      </c>
      <c r="B10">
        <v>32.981999999999999</v>
      </c>
      <c r="C10">
        <v>0</v>
      </c>
      <c r="G10">
        <v>1</v>
      </c>
      <c r="H10">
        <v>0</v>
      </c>
      <c r="I10">
        <f t="shared" si="3"/>
        <v>107</v>
      </c>
      <c r="J10">
        <f t="shared" si="4"/>
        <v>8</v>
      </c>
      <c r="K10">
        <f t="shared" si="5"/>
        <v>9</v>
      </c>
      <c r="L10">
        <v>10000</v>
      </c>
      <c r="M10">
        <v>0</v>
      </c>
      <c r="N10">
        <f t="shared" si="6"/>
        <v>8.3333333333333339</v>
      </c>
      <c r="P10">
        <f t="shared" si="0"/>
        <v>1.2000000000000455E-2</v>
      </c>
    </row>
  </sheetData>
  <autoFilter ref="A1:N10" xr:uid="{65B9DFDE-BD1B-488F-A3F2-937496B9D1C5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7DA3-5A90-466B-81F8-9956EC9C1837}">
  <dimension ref="A1:P7"/>
  <sheetViews>
    <sheetView zoomScale="70" zoomScaleNormal="70" workbookViewId="0">
      <selection activeCell="D7" sqref="D7"/>
    </sheetView>
  </sheetViews>
  <sheetFormatPr defaultRowHeight="14.5" x14ac:dyDescent="0.35"/>
  <cols>
    <col min="5" max="5" width="17.63281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32.65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32.68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>B3-B2</f>
        <v>3.0000000000001137E-2</v>
      </c>
    </row>
    <row r="4" spans="1:16" x14ac:dyDescent="0.35">
      <c r="A4">
        <f>A3+1</f>
        <v>3</v>
      </c>
      <c r="B4">
        <v>32.72</v>
      </c>
      <c r="C4">
        <v>0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>30/3.6</f>
        <v>8.3333333333333339</v>
      </c>
      <c r="P4">
        <f>B4-B3</f>
        <v>3.9999999999999147E-2</v>
      </c>
    </row>
    <row r="5" spans="1:16" x14ac:dyDescent="0.35">
      <c r="A5">
        <f t="shared" ref="A5:A7" si="0">A4+1</f>
        <v>4</v>
      </c>
      <c r="B5">
        <v>32.774000000000001</v>
      </c>
      <c r="C5">
        <v>0</v>
      </c>
      <c r="G5">
        <v>1</v>
      </c>
      <c r="H5">
        <v>-1</v>
      </c>
      <c r="I5">
        <f t="shared" ref="I5:I7" si="1">I4+1</f>
        <v>102</v>
      </c>
      <c r="J5">
        <v>3</v>
      </c>
      <c r="K5">
        <f t="shared" ref="K5:K7" si="2">A5</f>
        <v>4</v>
      </c>
      <c r="L5">
        <v>10000</v>
      </c>
      <c r="M5">
        <v>0</v>
      </c>
      <c r="N5">
        <f t="shared" ref="N5:N7" si="3">30/3.6</f>
        <v>8.3333333333333339</v>
      </c>
      <c r="P5">
        <f>B5-B4</f>
        <v>5.4000000000002046E-2</v>
      </c>
    </row>
    <row r="6" spans="1:16" x14ac:dyDescent="0.35">
      <c r="A6">
        <f t="shared" si="0"/>
        <v>5</v>
      </c>
      <c r="B6">
        <v>32.97</v>
      </c>
      <c r="C6">
        <v>0</v>
      </c>
      <c r="D6" t="s">
        <v>42</v>
      </c>
      <c r="E6" t="s">
        <v>48</v>
      </c>
      <c r="I6">
        <f t="shared" si="1"/>
        <v>103</v>
      </c>
      <c r="J6">
        <v>4</v>
      </c>
      <c r="K6">
        <f t="shared" si="2"/>
        <v>5</v>
      </c>
      <c r="L6">
        <v>10000</v>
      </c>
      <c r="M6">
        <v>0</v>
      </c>
      <c r="N6">
        <f t="shared" si="3"/>
        <v>8.3333333333333339</v>
      </c>
      <c r="P6">
        <f>B6-B5</f>
        <v>0.19599999999999795</v>
      </c>
    </row>
    <row r="7" spans="1:16" x14ac:dyDescent="0.35">
      <c r="A7">
        <f t="shared" si="0"/>
        <v>6</v>
      </c>
      <c r="B7">
        <v>32.981999999999999</v>
      </c>
      <c r="C7">
        <v>0</v>
      </c>
      <c r="G7">
        <v>1</v>
      </c>
      <c r="H7">
        <v>0</v>
      </c>
      <c r="I7">
        <f t="shared" si="1"/>
        <v>104</v>
      </c>
      <c r="J7">
        <v>5</v>
      </c>
      <c r="K7">
        <f t="shared" si="2"/>
        <v>6</v>
      </c>
      <c r="L7">
        <v>10000</v>
      </c>
      <c r="M7">
        <v>0</v>
      </c>
      <c r="N7">
        <f t="shared" si="3"/>
        <v>8.3333333333333339</v>
      </c>
      <c r="P7">
        <f>B7-B6</f>
        <v>1.2000000000000455E-2</v>
      </c>
    </row>
  </sheetData>
  <autoFilter ref="A1:N7" xr:uid="{8CB37DA3-5A90-466B-81F8-9956EC9C1837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7B4B-3517-48DC-80BA-9720679CD522}">
  <dimension ref="A1:P37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3.906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32.5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32.56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 t="shared" ref="P3:P10" si="0">B3-B2</f>
        <v>6.0000000000002274E-2</v>
      </c>
    </row>
    <row r="4" spans="1:16" x14ac:dyDescent="0.35">
      <c r="A4">
        <f>A3+1</f>
        <v>3</v>
      </c>
      <c r="B4">
        <v>32.67</v>
      </c>
      <c r="C4">
        <v>0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9" si="1">60/3.6</f>
        <v>16.666666666666668</v>
      </c>
      <c r="P4">
        <f t="shared" si="0"/>
        <v>0.10999999999999943</v>
      </c>
    </row>
    <row r="5" spans="1:16" x14ac:dyDescent="0.35">
      <c r="A5">
        <f t="shared" ref="A5:A13" si="2">A4+1</f>
        <v>4</v>
      </c>
      <c r="B5">
        <v>32.72</v>
      </c>
      <c r="C5">
        <v>0</v>
      </c>
      <c r="F5">
        <v>1</v>
      </c>
      <c r="I5">
        <f t="shared" ref="I5:I8" si="3">I4+1</f>
        <v>102</v>
      </c>
      <c r="J5">
        <v>4</v>
      </c>
      <c r="K5">
        <f t="shared" ref="K5:K8" si="4">A5</f>
        <v>4</v>
      </c>
      <c r="L5">
        <v>10000</v>
      </c>
      <c r="M5">
        <v>0</v>
      </c>
      <c r="N5">
        <f t="shared" si="1"/>
        <v>16.666666666666668</v>
      </c>
      <c r="P5">
        <f t="shared" si="0"/>
        <v>4.9999999999997158E-2</v>
      </c>
    </row>
    <row r="6" spans="1:16" x14ac:dyDescent="0.35">
      <c r="A6">
        <f t="shared" si="2"/>
        <v>5</v>
      </c>
      <c r="B6">
        <v>32.770000000000003</v>
      </c>
      <c r="C6">
        <v>0</v>
      </c>
      <c r="I6">
        <f t="shared" si="3"/>
        <v>103</v>
      </c>
      <c r="J6">
        <v>5</v>
      </c>
      <c r="K6">
        <f t="shared" si="4"/>
        <v>5</v>
      </c>
      <c r="L6">
        <v>10000</v>
      </c>
      <c r="M6">
        <v>0</v>
      </c>
      <c r="N6">
        <f t="shared" si="1"/>
        <v>16.666666666666668</v>
      </c>
      <c r="P6">
        <f t="shared" si="0"/>
        <v>5.0000000000004263E-2</v>
      </c>
    </row>
    <row r="7" spans="1:16" x14ac:dyDescent="0.35">
      <c r="A7">
        <f t="shared" si="2"/>
        <v>6</v>
      </c>
      <c r="B7">
        <v>32.905000000000001</v>
      </c>
      <c r="C7">
        <v>0</v>
      </c>
      <c r="G7">
        <v>1</v>
      </c>
      <c r="H7">
        <v>-1</v>
      </c>
      <c r="I7">
        <f t="shared" si="3"/>
        <v>104</v>
      </c>
      <c r="J7">
        <v>6</v>
      </c>
      <c r="K7">
        <f t="shared" si="4"/>
        <v>6</v>
      </c>
      <c r="L7">
        <v>10000</v>
      </c>
      <c r="M7">
        <v>0</v>
      </c>
      <c r="N7">
        <f t="shared" si="1"/>
        <v>16.666666666666668</v>
      </c>
      <c r="P7">
        <f t="shared" si="0"/>
        <v>0.13499999999999801</v>
      </c>
    </row>
    <row r="8" spans="1:16" x14ac:dyDescent="0.35">
      <c r="A8">
        <f t="shared" si="2"/>
        <v>7</v>
      </c>
      <c r="B8">
        <v>32.981999999999999</v>
      </c>
      <c r="C8">
        <v>0</v>
      </c>
      <c r="I8">
        <f t="shared" si="3"/>
        <v>105</v>
      </c>
      <c r="J8">
        <v>7</v>
      </c>
      <c r="K8">
        <f t="shared" si="4"/>
        <v>7</v>
      </c>
      <c r="L8">
        <v>10000</v>
      </c>
      <c r="M8">
        <v>0</v>
      </c>
      <c r="N8">
        <f t="shared" si="1"/>
        <v>16.666666666666668</v>
      </c>
      <c r="P8">
        <f t="shared" si="0"/>
        <v>7.6999999999998181E-2</v>
      </c>
    </row>
    <row r="9" spans="1:16" x14ac:dyDescent="0.35">
      <c r="A9">
        <f t="shared" si="2"/>
        <v>8</v>
      </c>
      <c r="B9">
        <v>33.143000000000001</v>
      </c>
      <c r="C9">
        <v>0</v>
      </c>
      <c r="D9" t="s">
        <v>29</v>
      </c>
      <c r="E9" t="s">
        <v>49</v>
      </c>
      <c r="I9">
        <f t="shared" ref="I9:I13" si="5">I8+1</f>
        <v>106</v>
      </c>
      <c r="J9">
        <v>8</v>
      </c>
      <c r="K9">
        <f t="shared" ref="K9:K10" si="6">A9</f>
        <v>8</v>
      </c>
      <c r="L9">
        <v>10000</v>
      </c>
      <c r="M9">
        <v>0</v>
      </c>
      <c r="N9">
        <f t="shared" si="1"/>
        <v>16.666666666666668</v>
      </c>
      <c r="P9">
        <f t="shared" si="0"/>
        <v>0.16100000000000136</v>
      </c>
    </row>
    <row r="10" spans="1:16" x14ac:dyDescent="0.35">
      <c r="A10">
        <f t="shared" si="2"/>
        <v>9</v>
      </c>
      <c r="B10">
        <v>33.243000000000002</v>
      </c>
      <c r="C10">
        <v>0</v>
      </c>
      <c r="I10">
        <f t="shared" si="5"/>
        <v>107</v>
      </c>
      <c r="J10">
        <v>9</v>
      </c>
      <c r="K10">
        <f t="shared" si="6"/>
        <v>9</v>
      </c>
      <c r="L10">
        <v>10000</v>
      </c>
      <c r="M10">
        <v>0</v>
      </c>
      <c r="N10">
        <f>30/3.6</f>
        <v>8.3333333333333339</v>
      </c>
      <c r="P10">
        <f t="shared" si="0"/>
        <v>0.10000000000000142</v>
      </c>
    </row>
    <row r="11" spans="1:16" x14ac:dyDescent="0.35">
      <c r="A11">
        <f t="shared" si="2"/>
        <v>10</v>
      </c>
      <c r="B11">
        <v>33.299999999999997</v>
      </c>
      <c r="C11">
        <v>0</v>
      </c>
      <c r="G11">
        <v>1</v>
      </c>
      <c r="H11">
        <v>1</v>
      </c>
      <c r="I11">
        <f t="shared" si="5"/>
        <v>108</v>
      </c>
      <c r="J11">
        <v>10</v>
      </c>
      <c r="K11">
        <f t="shared" ref="K11:K12" si="7">A11</f>
        <v>10</v>
      </c>
      <c r="L11">
        <v>10000</v>
      </c>
      <c r="M11">
        <v>0</v>
      </c>
      <c r="N11">
        <f>30/3.6</f>
        <v>8.3333333333333339</v>
      </c>
      <c r="P11">
        <f t="shared" ref="P11:P13" si="8">B11-B10</f>
        <v>5.6999999999995055E-2</v>
      </c>
    </row>
    <row r="12" spans="1:16" x14ac:dyDescent="0.35">
      <c r="A12">
        <f t="shared" si="2"/>
        <v>11</v>
      </c>
      <c r="B12">
        <v>33.317999999999998</v>
      </c>
      <c r="C12">
        <v>0</v>
      </c>
      <c r="F12">
        <v>1</v>
      </c>
      <c r="I12">
        <f t="shared" si="5"/>
        <v>109</v>
      </c>
      <c r="J12">
        <v>11</v>
      </c>
      <c r="K12">
        <f t="shared" si="7"/>
        <v>11</v>
      </c>
      <c r="L12">
        <v>10000</v>
      </c>
      <c r="M12">
        <v>0</v>
      </c>
      <c r="N12">
        <f>30/3.6</f>
        <v>8.3333333333333339</v>
      </c>
      <c r="P12">
        <f t="shared" si="8"/>
        <v>1.8000000000000682E-2</v>
      </c>
    </row>
    <row r="13" spans="1:16" x14ac:dyDescent="0.35">
      <c r="A13">
        <f t="shared" si="2"/>
        <v>12</v>
      </c>
      <c r="B13">
        <v>33.322000000000003</v>
      </c>
      <c r="C13">
        <v>0</v>
      </c>
      <c r="G13">
        <v>1</v>
      </c>
      <c r="H13">
        <v>0</v>
      </c>
      <c r="I13">
        <f t="shared" si="5"/>
        <v>110</v>
      </c>
      <c r="J13">
        <v>12</v>
      </c>
      <c r="K13">
        <f t="shared" ref="K13" si="9">A13</f>
        <v>12</v>
      </c>
      <c r="L13">
        <v>10000</v>
      </c>
      <c r="M13">
        <v>0</v>
      </c>
      <c r="N13">
        <f>30/3.6</f>
        <v>8.3333333333333339</v>
      </c>
      <c r="P13">
        <f t="shared" si="8"/>
        <v>4.0000000000048885E-3</v>
      </c>
    </row>
    <row r="37" spans="7:7" x14ac:dyDescent="0.35">
      <c r="G37">
        <v>1</v>
      </c>
    </row>
  </sheetData>
  <autoFilter ref="A1:N13" xr:uid="{86A47B4B-3517-48DC-80BA-9720679CD522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22A8-9D1A-4440-81F5-EA5B2E4AB27E}">
  <sheetPr filterMode="1"/>
  <dimension ref="A1:P37"/>
  <sheetViews>
    <sheetView zoomScale="70" zoomScaleNormal="70" workbookViewId="0">
      <selection activeCell="A2" sqref="A2:B12"/>
    </sheetView>
  </sheetViews>
  <sheetFormatPr defaultRowHeight="14.5" x14ac:dyDescent="0.35"/>
  <cols>
    <col min="5" max="5" width="16.2695312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32.700000000000003</v>
      </c>
      <c r="C2">
        <v>0</v>
      </c>
      <c r="G2">
        <v>1</v>
      </c>
      <c r="H2">
        <v>0</v>
      </c>
    </row>
    <row r="3" spans="1:16" hidden="1" x14ac:dyDescent="0.35">
      <c r="A3">
        <f>A2+1</f>
        <v>2</v>
      </c>
      <c r="B3">
        <v>32.72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60/3.6</f>
        <v>16.666666666666668</v>
      </c>
      <c r="P3">
        <f>B3-B2</f>
        <v>1.9999999999996021E-2</v>
      </c>
    </row>
    <row r="4" spans="1:16" x14ac:dyDescent="0.35">
      <c r="A4">
        <f t="shared" ref="A4:A12" si="0">A3+1</f>
        <v>3</v>
      </c>
      <c r="B4">
        <v>32.734999999999999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" si="1">A4</f>
        <v>3</v>
      </c>
      <c r="L4">
        <v>10000</v>
      </c>
      <c r="M4">
        <v>0</v>
      </c>
      <c r="N4">
        <f>60/3.6</f>
        <v>16.666666666666668</v>
      </c>
      <c r="P4">
        <f t="shared" ref="P4:P12" si="2">B4-B3</f>
        <v>1.5000000000000568E-2</v>
      </c>
    </row>
    <row r="5" spans="1:16" hidden="1" x14ac:dyDescent="0.35">
      <c r="A5">
        <f t="shared" si="0"/>
        <v>4</v>
      </c>
      <c r="B5">
        <v>32.770000000000003</v>
      </c>
      <c r="C5">
        <v>0</v>
      </c>
      <c r="I5">
        <f>I3+1</f>
        <v>101</v>
      </c>
      <c r="J5">
        <f t="shared" ref="J5:J12" si="3">J4+1</f>
        <v>3</v>
      </c>
      <c r="K5">
        <f t="shared" ref="K5:K12" si="4">A5</f>
        <v>4</v>
      </c>
      <c r="L5">
        <v>10000</v>
      </c>
      <c r="M5">
        <v>0</v>
      </c>
      <c r="N5">
        <f t="shared" ref="N5:N8" si="5">60/3.6</f>
        <v>16.666666666666668</v>
      </c>
      <c r="P5">
        <f t="shared" si="2"/>
        <v>3.5000000000003695E-2</v>
      </c>
    </row>
    <row r="6" spans="1:16" x14ac:dyDescent="0.35">
      <c r="A6">
        <f t="shared" si="0"/>
        <v>5</v>
      </c>
      <c r="B6">
        <v>32.905000000000001</v>
      </c>
      <c r="C6">
        <v>0</v>
      </c>
      <c r="G6">
        <v>1</v>
      </c>
      <c r="H6">
        <v>-1</v>
      </c>
      <c r="I6">
        <f t="shared" ref="I6:I12" si="6">I5+1</f>
        <v>102</v>
      </c>
      <c r="J6">
        <f t="shared" si="3"/>
        <v>4</v>
      </c>
      <c r="K6">
        <f t="shared" si="4"/>
        <v>5</v>
      </c>
      <c r="L6">
        <v>10000</v>
      </c>
      <c r="M6">
        <v>0</v>
      </c>
      <c r="N6">
        <f t="shared" si="5"/>
        <v>16.666666666666668</v>
      </c>
      <c r="P6">
        <f t="shared" si="2"/>
        <v>0.13499999999999801</v>
      </c>
    </row>
    <row r="7" spans="1:16" hidden="1" x14ac:dyDescent="0.35">
      <c r="A7">
        <f t="shared" si="0"/>
        <v>6</v>
      </c>
      <c r="B7">
        <v>32.981999999999999</v>
      </c>
      <c r="C7">
        <v>0</v>
      </c>
      <c r="I7">
        <f t="shared" si="6"/>
        <v>103</v>
      </c>
      <c r="J7">
        <f t="shared" si="3"/>
        <v>5</v>
      </c>
      <c r="K7">
        <f t="shared" si="4"/>
        <v>6</v>
      </c>
      <c r="L7">
        <v>10000</v>
      </c>
      <c r="M7">
        <v>0</v>
      </c>
      <c r="N7">
        <f t="shared" si="5"/>
        <v>16.666666666666668</v>
      </c>
      <c r="P7">
        <f t="shared" si="2"/>
        <v>7.6999999999998181E-2</v>
      </c>
    </row>
    <row r="8" spans="1:16" hidden="1" x14ac:dyDescent="0.35">
      <c r="A8">
        <f t="shared" si="0"/>
        <v>7</v>
      </c>
      <c r="B8">
        <v>33.143000000000001</v>
      </c>
      <c r="C8">
        <v>0</v>
      </c>
      <c r="D8" t="s">
        <v>29</v>
      </c>
      <c r="E8" t="s">
        <v>50</v>
      </c>
      <c r="I8">
        <f t="shared" si="6"/>
        <v>104</v>
      </c>
      <c r="J8">
        <f t="shared" si="3"/>
        <v>6</v>
      </c>
      <c r="K8">
        <f t="shared" si="4"/>
        <v>7</v>
      </c>
      <c r="L8">
        <v>10000</v>
      </c>
      <c r="M8">
        <v>0</v>
      </c>
      <c r="N8">
        <f t="shared" si="5"/>
        <v>16.666666666666668</v>
      </c>
      <c r="P8">
        <f t="shared" si="2"/>
        <v>0.16100000000000136</v>
      </c>
    </row>
    <row r="9" spans="1:16" hidden="1" x14ac:dyDescent="0.35">
      <c r="A9">
        <f t="shared" si="0"/>
        <v>8</v>
      </c>
      <c r="B9">
        <v>33.243000000000002</v>
      </c>
      <c r="C9">
        <v>0</v>
      </c>
      <c r="I9">
        <f t="shared" si="6"/>
        <v>105</v>
      </c>
      <c r="J9">
        <f t="shared" si="3"/>
        <v>7</v>
      </c>
      <c r="K9">
        <f t="shared" si="4"/>
        <v>8</v>
      </c>
      <c r="L9">
        <v>10000</v>
      </c>
      <c r="M9">
        <v>0</v>
      </c>
      <c r="N9">
        <f>30/3.6</f>
        <v>8.3333333333333339</v>
      </c>
      <c r="P9">
        <f t="shared" si="2"/>
        <v>0.10000000000000142</v>
      </c>
    </row>
    <row r="10" spans="1:16" x14ac:dyDescent="0.35">
      <c r="A10">
        <f t="shared" si="0"/>
        <v>9</v>
      </c>
      <c r="B10">
        <v>33.322000000000003</v>
      </c>
      <c r="C10">
        <v>0</v>
      </c>
      <c r="G10">
        <v>1</v>
      </c>
      <c r="H10">
        <v>1</v>
      </c>
      <c r="I10">
        <f t="shared" si="6"/>
        <v>106</v>
      </c>
      <c r="J10">
        <f t="shared" si="3"/>
        <v>8</v>
      </c>
      <c r="K10">
        <f t="shared" si="4"/>
        <v>9</v>
      </c>
      <c r="L10">
        <v>10000</v>
      </c>
      <c r="M10">
        <v>0</v>
      </c>
      <c r="N10">
        <f t="shared" ref="N10:N12" si="7">30/3.6</f>
        <v>8.3333333333333339</v>
      </c>
      <c r="P10">
        <f t="shared" si="2"/>
        <v>7.9000000000000625E-2</v>
      </c>
    </row>
    <row r="11" spans="1:16" hidden="1" x14ac:dyDescent="0.35">
      <c r="A11">
        <f t="shared" si="0"/>
        <v>10</v>
      </c>
      <c r="B11">
        <v>33.479999999999997</v>
      </c>
      <c r="C11">
        <v>0</v>
      </c>
      <c r="F11">
        <v>1</v>
      </c>
      <c r="I11">
        <f t="shared" si="6"/>
        <v>107</v>
      </c>
      <c r="J11">
        <f t="shared" si="3"/>
        <v>9</v>
      </c>
      <c r="K11">
        <f t="shared" si="4"/>
        <v>10</v>
      </c>
      <c r="L11">
        <v>10000</v>
      </c>
      <c r="M11">
        <v>0</v>
      </c>
      <c r="N11">
        <f t="shared" si="7"/>
        <v>8.3333333333333339</v>
      </c>
      <c r="P11">
        <f t="shared" si="2"/>
        <v>0.15799999999999415</v>
      </c>
    </row>
    <row r="12" spans="1:16" x14ac:dyDescent="0.35">
      <c r="A12">
        <f t="shared" si="0"/>
        <v>11</v>
      </c>
      <c r="B12">
        <v>33.5</v>
      </c>
      <c r="C12">
        <v>0</v>
      </c>
      <c r="G12">
        <v>1</v>
      </c>
      <c r="H12">
        <v>0</v>
      </c>
      <c r="I12">
        <f t="shared" si="6"/>
        <v>108</v>
      </c>
      <c r="J12">
        <f t="shared" si="3"/>
        <v>10</v>
      </c>
      <c r="K12">
        <f t="shared" si="4"/>
        <v>11</v>
      </c>
      <c r="L12">
        <v>10000</v>
      </c>
      <c r="M12">
        <v>0</v>
      </c>
      <c r="N12">
        <f t="shared" si="7"/>
        <v>8.3333333333333339</v>
      </c>
      <c r="P12">
        <f t="shared" si="2"/>
        <v>2.0000000000003126E-2</v>
      </c>
    </row>
    <row r="37" spans="7:7" x14ac:dyDescent="0.35">
      <c r="G37">
        <v>1</v>
      </c>
    </row>
  </sheetData>
  <autoFilter ref="A1:N12" xr:uid="{0C5B22A8-9D1A-4440-81F5-EA5B2E4AB27E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AFD9D-FFB2-4889-B03E-06F5996CC90A}">
  <dimension ref="A1:P38"/>
  <sheetViews>
    <sheetView zoomScale="70" zoomScaleNormal="70" workbookViewId="0">
      <selection activeCell="D3" activeCellId="1" sqref="B3 D3"/>
    </sheetView>
  </sheetViews>
  <sheetFormatPr defaultRowHeight="14.5" x14ac:dyDescent="0.35"/>
  <cols>
    <col min="5" max="5" width="17.54296875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f>B3-0.332</f>
        <v>63.360999999999997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f>B4-0.194</f>
        <v>63.692999999999998</v>
      </c>
      <c r="C3">
        <v>0</v>
      </c>
      <c r="D3" t="s">
        <v>43</v>
      </c>
      <c r="E3" t="s">
        <v>50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75/3.6</f>
        <v>20.833333333333332</v>
      </c>
      <c r="P3">
        <f t="shared" ref="P3:P17" si="0">B3-B2</f>
        <v>0.33200000000000074</v>
      </c>
    </row>
    <row r="4" spans="1:16" x14ac:dyDescent="0.35">
      <c r="A4">
        <f>A3+1</f>
        <v>3</v>
      </c>
      <c r="B4">
        <f>B5-0.327</f>
        <v>63.887</v>
      </c>
      <c r="C4">
        <v>0</v>
      </c>
      <c r="G4">
        <v>1</v>
      </c>
      <c r="H4">
        <v>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17" si="1">75/3.6</f>
        <v>20.833333333333332</v>
      </c>
      <c r="P4">
        <f t="shared" si="0"/>
        <v>0.19400000000000261</v>
      </c>
    </row>
    <row r="5" spans="1:16" x14ac:dyDescent="0.35">
      <c r="A5">
        <f t="shared" ref="A5:A17" si="2">A4+1</f>
        <v>4</v>
      </c>
      <c r="B5">
        <f>B6-0.58</f>
        <v>64.213999999999999</v>
      </c>
      <c r="C5">
        <v>0</v>
      </c>
      <c r="G5">
        <v>1</v>
      </c>
      <c r="H5">
        <v>-1</v>
      </c>
      <c r="I5">
        <f t="shared" ref="I5:I17" si="3">I4+1</f>
        <v>102</v>
      </c>
      <c r="J5">
        <v>3</v>
      </c>
      <c r="K5">
        <f t="shared" ref="K5:K9" si="4">A5</f>
        <v>4</v>
      </c>
      <c r="L5">
        <v>10000</v>
      </c>
      <c r="M5">
        <v>0</v>
      </c>
      <c r="N5">
        <f t="shared" si="1"/>
        <v>20.833333333333332</v>
      </c>
      <c r="P5">
        <f t="shared" si="0"/>
        <v>0.32699999999999818</v>
      </c>
    </row>
    <row r="6" spans="1:16" x14ac:dyDescent="0.35">
      <c r="A6">
        <f t="shared" si="2"/>
        <v>5</v>
      </c>
      <c r="B6">
        <f>B7-0.519</f>
        <v>64.793999999999997</v>
      </c>
      <c r="C6">
        <v>0</v>
      </c>
      <c r="G6">
        <v>1</v>
      </c>
      <c r="H6">
        <v>1</v>
      </c>
      <c r="I6">
        <f t="shared" si="3"/>
        <v>103</v>
      </c>
      <c r="J6">
        <v>4</v>
      </c>
      <c r="K6">
        <f t="shared" si="4"/>
        <v>5</v>
      </c>
      <c r="L6">
        <v>10000</v>
      </c>
      <c r="M6">
        <v>0</v>
      </c>
      <c r="N6">
        <f t="shared" si="1"/>
        <v>20.833333333333332</v>
      </c>
      <c r="P6">
        <f t="shared" si="0"/>
        <v>0.57999999999999829</v>
      </c>
    </row>
    <row r="7" spans="1:16" x14ac:dyDescent="0.35">
      <c r="A7">
        <f t="shared" si="2"/>
        <v>6</v>
      </c>
      <c r="B7">
        <v>65.313000000000002</v>
      </c>
      <c r="C7">
        <v>0</v>
      </c>
      <c r="F7">
        <v>1</v>
      </c>
      <c r="I7">
        <f t="shared" si="3"/>
        <v>104</v>
      </c>
      <c r="J7">
        <v>5</v>
      </c>
      <c r="K7">
        <f t="shared" si="4"/>
        <v>6</v>
      </c>
      <c r="L7">
        <v>10000</v>
      </c>
      <c r="M7">
        <v>0</v>
      </c>
      <c r="N7">
        <f t="shared" si="1"/>
        <v>20.833333333333332</v>
      </c>
      <c r="P7">
        <f t="shared" si="0"/>
        <v>0.51900000000000546</v>
      </c>
    </row>
    <row r="8" spans="1:16" x14ac:dyDescent="0.35">
      <c r="A8">
        <f t="shared" si="2"/>
        <v>7</v>
      </c>
      <c r="B8">
        <v>65.488</v>
      </c>
      <c r="C8">
        <v>0</v>
      </c>
      <c r="I8">
        <f t="shared" si="3"/>
        <v>105</v>
      </c>
      <c r="J8">
        <v>6</v>
      </c>
      <c r="K8">
        <f t="shared" si="4"/>
        <v>7</v>
      </c>
      <c r="L8">
        <v>10000</v>
      </c>
      <c r="M8">
        <v>0</v>
      </c>
      <c r="N8">
        <f t="shared" si="1"/>
        <v>20.833333333333332</v>
      </c>
      <c r="P8">
        <f t="shared" si="0"/>
        <v>0.17499999999999716</v>
      </c>
    </row>
    <row r="9" spans="1:16" x14ac:dyDescent="0.35">
      <c r="A9">
        <f t="shared" si="2"/>
        <v>8</v>
      </c>
      <c r="B9">
        <v>65.545000000000002</v>
      </c>
      <c r="C9">
        <v>0</v>
      </c>
      <c r="I9">
        <f t="shared" si="3"/>
        <v>106</v>
      </c>
      <c r="J9">
        <v>7</v>
      </c>
      <c r="K9">
        <f t="shared" si="4"/>
        <v>8</v>
      </c>
      <c r="L9">
        <v>10000</v>
      </c>
      <c r="M9">
        <v>0</v>
      </c>
      <c r="N9">
        <f t="shared" si="1"/>
        <v>20.833333333333332</v>
      </c>
      <c r="P9">
        <f t="shared" si="0"/>
        <v>5.700000000000216E-2</v>
      </c>
    </row>
    <row r="10" spans="1:16" x14ac:dyDescent="0.35">
      <c r="A10">
        <f t="shared" si="2"/>
        <v>9</v>
      </c>
      <c r="B10">
        <v>65.599999999999994</v>
      </c>
      <c r="C10">
        <v>0</v>
      </c>
      <c r="G10">
        <v>1</v>
      </c>
      <c r="H10">
        <v>1</v>
      </c>
      <c r="I10">
        <f t="shared" si="3"/>
        <v>107</v>
      </c>
      <c r="J10">
        <v>8</v>
      </c>
      <c r="K10">
        <f t="shared" ref="K10:K11" si="5">A10</f>
        <v>9</v>
      </c>
      <c r="L10">
        <v>10000</v>
      </c>
      <c r="M10">
        <v>0</v>
      </c>
      <c r="N10">
        <f t="shared" si="1"/>
        <v>20.833333333333332</v>
      </c>
      <c r="P10">
        <f t="shared" si="0"/>
        <v>5.499999999999261E-2</v>
      </c>
    </row>
    <row r="11" spans="1:16" x14ac:dyDescent="0.35">
      <c r="A11">
        <f t="shared" si="2"/>
        <v>10</v>
      </c>
      <c r="B11">
        <v>65.614999999999995</v>
      </c>
      <c r="C11">
        <v>0</v>
      </c>
      <c r="F11">
        <v>1</v>
      </c>
      <c r="I11">
        <f t="shared" si="3"/>
        <v>108</v>
      </c>
      <c r="J11">
        <v>9</v>
      </c>
      <c r="K11">
        <f t="shared" si="5"/>
        <v>10</v>
      </c>
      <c r="L11">
        <v>10000</v>
      </c>
      <c r="M11">
        <v>0</v>
      </c>
      <c r="N11">
        <f t="shared" si="1"/>
        <v>20.833333333333332</v>
      </c>
      <c r="P11">
        <f t="shared" si="0"/>
        <v>1.5000000000000568E-2</v>
      </c>
    </row>
    <row r="12" spans="1:16" x14ac:dyDescent="0.35">
      <c r="A12">
        <f t="shared" si="2"/>
        <v>11</v>
      </c>
      <c r="B12">
        <v>65.674999999999997</v>
      </c>
      <c r="C12">
        <v>0</v>
      </c>
      <c r="I12">
        <f t="shared" si="3"/>
        <v>109</v>
      </c>
      <c r="J12">
        <v>10</v>
      </c>
      <c r="K12">
        <f t="shared" ref="K12:K17" si="6">A12</f>
        <v>11</v>
      </c>
      <c r="L12">
        <v>10000</v>
      </c>
      <c r="M12">
        <v>0</v>
      </c>
      <c r="N12">
        <f t="shared" si="1"/>
        <v>20.833333333333332</v>
      </c>
      <c r="P12">
        <f t="shared" si="0"/>
        <v>6.0000000000002274E-2</v>
      </c>
    </row>
    <row r="13" spans="1:16" x14ac:dyDescent="0.35">
      <c r="A13">
        <f t="shared" si="2"/>
        <v>12</v>
      </c>
      <c r="B13">
        <v>65.724999999999994</v>
      </c>
      <c r="C13">
        <v>0</v>
      </c>
      <c r="G13">
        <v>1</v>
      </c>
      <c r="H13">
        <v>-1</v>
      </c>
      <c r="I13">
        <f t="shared" si="3"/>
        <v>110</v>
      </c>
      <c r="J13">
        <v>11</v>
      </c>
      <c r="K13">
        <f t="shared" si="6"/>
        <v>12</v>
      </c>
      <c r="L13">
        <v>10000</v>
      </c>
      <c r="M13">
        <v>0</v>
      </c>
      <c r="N13">
        <f t="shared" si="1"/>
        <v>20.833333333333332</v>
      </c>
      <c r="P13">
        <f t="shared" si="0"/>
        <v>4.9999999999997158E-2</v>
      </c>
    </row>
    <row r="14" spans="1:16" x14ac:dyDescent="0.35">
      <c r="A14">
        <f t="shared" si="2"/>
        <v>13</v>
      </c>
      <c r="B14">
        <v>65.826999999999998</v>
      </c>
      <c r="C14">
        <v>0</v>
      </c>
      <c r="D14" t="s">
        <v>37</v>
      </c>
      <c r="E14" t="s">
        <v>49</v>
      </c>
      <c r="I14">
        <f t="shared" si="3"/>
        <v>111</v>
      </c>
      <c r="J14">
        <v>12</v>
      </c>
      <c r="K14">
        <f t="shared" si="6"/>
        <v>13</v>
      </c>
      <c r="L14">
        <v>10000</v>
      </c>
      <c r="M14">
        <v>0</v>
      </c>
      <c r="N14">
        <f t="shared" si="1"/>
        <v>20.833333333333332</v>
      </c>
      <c r="P14">
        <f t="shared" si="0"/>
        <v>0.10200000000000387</v>
      </c>
    </row>
    <row r="15" spans="1:16" x14ac:dyDescent="0.35">
      <c r="A15">
        <f t="shared" si="2"/>
        <v>14</v>
      </c>
      <c r="B15">
        <v>66.13</v>
      </c>
      <c r="C15">
        <v>0</v>
      </c>
      <c r="G15">
        <v>1</v>
      </c>
      <c r="H15">
        <v>1</v>
      </c>
      <c r="I15">
        <f t="shared" si="3"/>
        <v>112</v>
      </c>
      <c r="J15">
        <v>13</v>
      </c>
      <c r="K15">
        <f t="shared" si="6"/>
        <v>14</v>
      </c>
      <c r="L15">
        <v>10000</v>
      </c>
      <c r="M15">
        <v>0</v>
      </c>
      <c r="N15">
        <f t="shared" si="1"/>
        <v>20.833333333333332</v>
      </c>
      <c r="P15">
        <f t="shared" si="0"/>
        <v>0.30299999999999727</v>
      </c>
    </row>
    <row r="16" spans="1:16" x14ac:dyDescent="0.35">
      <c r="A16">
        <f t="shared" si="2"/>
        <v>15</v>
      </c>
      <c r="B16">
        <v>66.138999999999996</v>
      </c>
      <c r="C16">
        <v>0</v>
      </c>
      <c r="F16">
        <v>1</v>
      </c>
      <c r="I16">
        <f t="shared" si="3"/>
        <v>113</v>
      </c>
      <c r="J16">
        <v>14</v>
      </c>
      <c r="K16">
        <f t="shared" si="6"/>
        <v>15</v>
      </c>
      <c r="L16">
        <v>10000</v>
      </c>
      <c r="M16">
        <v>0</v>
      </c>
      <c r="N16">
        <f t="shared" si="1"/>
        <v>20.833333333333332</v>
      </c>
      <c r="P16">
        <f t="shared" si="0"/>
        <v>9.0000000000003411E-3</v>
      </c>
    </row>
    <row r="17" spans="1:16" x14ac:dyDescent="0.35">
      <c r="A17">
        <f t="shared" si="2"/>
        <v>16</v>
      </c>
      <c r="B17">
        <v>66.16</v>
      </c>
      <c r="C17">
        <v>0</v>
      </c>
      <c r="G17">
        <v>1</v>
      </c>
      <c r="H17">
        <v>0</v>
      </c>
      <c r="I17">
        <f t="shared" si="3"/>
        <v>114</v>
      </c>
      <c r="J17">
        <v>15</v>
      </c>
      <c r="K17">
        <f t="shared" si="6"/>
        <v>16</v>
      </c>
      <c r="L17">
        <v>10000</v>
      </c>
      <c r="M17">
        <v>0</v>
      </c>
      <c r="N17">
        <f t="shared" si="1"/>
        <v>20.833333333333332</v>
      </c>
      <c r="P17">
        <f t="shared" si="0"/>
        <v>2.1000000000000796E-2</v>
      </c>
    </row>
    <row r="38" spans="7:7" x14ac:dyDescent="0.35">
      <c r="G38">
        <v>1</v>
      </c>
    </row>
  </sheetData>
  <autoFilter ref="A1:N17" xr:uid="{844AFD9D-FFB2-4889-B03E-06F5996CC90A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39ED-D5EE-407D-AD47-217DADB642A4}">
  <dimension ref="A1:P38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65.599999999999994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65.614999999999995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11" si="0">B3-B2</f>
        <v>1.5000000000000568E-2</v>
      </c>
    </row>
    <row r="4" spans="1:16" x14ac:dyDescent="0.35">
      <c r="A4">
        <f t="shared" ref="A4:A11" si="1">A3+1</f>
        <v>3</v>
      </c>
      <c r="B4">
        <v>65.64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" si="2">A4</f>
        <v>3</v>
      </c>
      <c r="L4">
        <v>10000</v>
      </c>
      <c r="M4">
        <v>0</v>
      </c>
      <c r="N4">
        <f t="shared" ref="N4:N11" si="3">30/3.6</f>
        <v>8.3333333333333339</v>
      </c>
      <c r="P4">
        <f t="shared" si="0"/>
        <v>2.5000000000005684E-2</v>
      </c>
    </row>
    <row r="5" spans="1:16" x14ac:dyDescent="0.35">
      <c r="A5">
        <f t="shared" si="1"/>
        <v>4</v>
      </c>
      <c r="B5">
        <v>65.644999999999996</v>
      </c>
      <c r="C5">
        <v>0</v>
      </c>
      <c r="F5">
        <v>1</v>
      </c>
      <c r="I5">
        <f t="shared" ref="I5:I11" si="4">I4+1</f>
        <v>102</v>
      </c>
      <c r="J5">
        <f t="shared" ref="J5:J11" si="5">J4+1</f>
        <v>3</v>
      </c>
      <c r="K5">
        <f t="shared" ref="K5:K11" si="6">A5</f>
        <v>4</v>
      </c>
      <c r="L5">
        <v>10000</v>
      </c>
      <c r="M5">
        <v>0</v>
      </c>
      <c r="N5">
        <f t="shared" si="3"/>
        <v>8.3333333333333339</v>
      </c>
      <c r="P5">
        <f t="shared" si="0"/>
        <v>4.9999999999954525E-3</v>
      </c>
    </row>
    <row r="6" spans="1:16" x14ac:dyDescent="0.35">
      <c r="A6">
        <f t="shared" si="1"/>
        <v>5</v>
      </c>
      <c r="B6">
        <v>65.674999999999997</v>
      </c>
      <c r="C6">
        <v>0</v>
      </c>
      <c r="I6">
        <f t="shared" si="4"/>
        <v>103</v>
      </c>
      <c r="J6">
        <f t="shared" si="5"/>
        <v>4</v>
      </c>
      <c r="K6">
        <f t="shared" si="6"/>
        <v>5</v>
      </c>
      <c r="L6">
        <v>10000</v>
      </c>
      <c r="M6">
        <v>0</v>
      </c>
      <c r="N6">
        <f t="shared" si="3"/>
        <v>8.3333333333333339</v>
      </c>
      <c r="P6">
        <f t="shared" si="0"/>
        <v>3.0000000000001137E-2</v>
      </c>
    </row>
    <row r="7" spans="1:16" x14ac:dyDescent="0.35">
      <c r="A7">
        <f t="shared" si="1"/>
        <v>6</v>
      </c>
      <c r="B7">
        <v>65.724999999999994</v>
      </c>
      <c r="C7">
        <v>0</v>
      </c>
      <c r="G7">
        <v>1</v>
      </c>
      <c r="H7">
        <v>-1</v>
      </c>
      <c r="I7">
        <f t="shared" si="4"/>
        <v>104</v>
      </c>
      <c r="J7">
        <f t="shared" si="5"/>
        <v>5</v>
      </c>
      <c r="K7">
        <f t="shared" si="6"/>
        <v>6</v>
      </c>
      <c r="L7">
        <v>10000</v>
      </c>
      <c r="M7">
        <v>0</v>
      </c>
      <c r="N7">
        <f t="shared" si="3"/>
        <v>8.3333333333333339</v>
      </c>
      <c r="P7">
        <f t="shared" si="0"/>
        <v>4.9999999999997158E-2</v>
      </c>
    </row>
    <row r="8" spans="1:16" x14ac:dyDescent="0.35">
      <c r="A8">
        <f t="shared" si="1"/>
        <v>7</v>
      </c>
      <c r="B8">
        <v>65.826999999999998</v>
      </c>
      <c r="C8">
        <v>0</v>
      </c>
      <c r="D8" t="s">
        <v>37</v>
      </c>
      <c r="E8" t="s">
        <v>52</v>
      </c>
      <c r="F8">
        <v>1</v>
      </c>
      <c r="I8">
        <f t="shared" si="4"/>
        <v>105</v>
      </c>
      <c r="J8">
        <f t="shared" si="5"/>
        <v>6</v>
      </c>
      <c r="K8">
        <f t="shared" si="6"/>
        <v>7</v>
      </c>
      <c r="L8">
        <v>10000</v>
      </c>
      <c r="M8">
        <v>0</v>
      </c>
      <c r="N8">
        <f t="shared" si="3"/>
        <v>8.3333333333333339</v>
      </c>
      <c r="P8">
        <f t="shared" si="0"/>
        <v>0.10200000000000387</v>
      </c>
    </row>
    <row r="9" spans="1:16" x14ac:dyDescent="0.35">
      <c r="A9">
        <f t="shared" si="1"/>
        <v>8</v>
      </c>
      <c r="B9">
        <v>66.287000000000006</v>
      </c>
      <c r="C9">
        <v>0</v>
      </c>
      <c r="G9">
        <v>1</v>
      </c>
      <c r="H9">
        <v>1</v>
      </c>
      <c r="I9">
        <f t="shared" si="4"/>
        <v>106</v>
      </c>
      <c r="J9">
        <f t="shared" si="5"/>
        <v>7</v>
      </c>
      <c r="K9">
        <f t="shared" si="6"/>
        <v>8</v>
      </c>
      <c r="L9">
        <v>10000</v>
      </c>
      <c r="M9">
        <v>0</v>
      </c>
      <c r="N9">
        <f t="shared" si="3"/>
        <v>8.3333333333333339</v>
      </c>
      <c r="P9">
        <f t="shared" si="0"/>
        <v>0.46000000000000796</v>
      </c>
    </row>
    <row r="10" spans="1:16" x14ac:dyDescent="0.35">
      <c r="A10">
        <f t="shared" si="1"/>
        <v>9</v>
      </c>
      <c r="B10">
        <v>66.41</v>
      </c>
      <c r="C10">
        <v>0</v>
      </c>
      <c r="F10">
        <v>1</v>
      </c>
      <c r="I10">
        <f t="shared" si="4"/>
        <v>107</v>
      </c>
      <c r="J10">
        <f t="shared" si="5"/>
        <v>8</v>
      </c>
      <c r="K10">
        <f t="shared" si="6"/>
        <v>9</v>
      </c>
      <c r="L10">
        <v>10000</v>
      </c>
      <c r="M10">
        <v>0</v>
      </c>
      <c r="N10">
        <f t="shared" si="3"/>
        <v>8.3333333333333339</v>
      </c>
      <c r="P10">
        <f t="shared" si="0"/>
        <v>0.12299999999999045</v>
      </c>
    </row>
    <row r="11" spans="1:16" x14ac:dyDescent="0.35">
      <c r="A11">
        <f t="shared" si="1"/>
        <v>10</v>
      </c>
      <c r="B11">
        <v>66.430000000000007</v>
      </c>
      <c r="C11">
        <v>0</v>
      </c>
      <c r="G11">
        <v>1</v>
      </c>
      <c r="H11">
        <v>0</v>
      </c>
      <c r="I11">
        <f t="shared" si="4"/>
        <v>108</v>
      </c>
      <c r="J11">
        <f t="shared" si="5"/>
        <v>9</v>
      </c>
      <c r="K11">
        <f t="shared" si="6"/>
        <v>10</v>
      </c>
      <c r="L11">
        <v>10000</v>
      </c>
      <c r="M11">
        <v>0</v>
      </c>
      <c r="N11">
        <f t="shared" si="3"/>
        <v>8.3333333333333339</v>
      </c>
      <c r="P11">
        <f t="shared" si="0"/>
        <v>2.0000000000010232E-2</v>
      </c>
    </row>
    <row r="38" spans="7:7" x14ac:dyDescent="0.35">
      <c r="G38">
        <v>1</v>
      </c>
    </row>
  </sheetData>
  <autoFilter ref="A1:P11" xr:uid="{592339ED-D5EE-407D-AD47-217DADB642A4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B1D4-0ED3-4C58-9016-2D2B4EAC13E1}">
  <dimension ref="A1:P36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65.724999999999994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8" si="0">B3-B2</f>
        <v>2.4999999999991473E-2</v>
      </c>
    </row>
    <row r="4" spans="1:16" x14ac:dyDescent="0.35">
      <c r="A4">
        <f>A3+1</f>
        <v>3</v>
      </c>
      <c r="B4">
        <v>65.73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8" si="1">30/3.6</f>
        <v>8.3333333333333339</v>
      </c>
      <c r="P4">
        <f t="shared" si="0"/>
        <v>5.0000000000096634E-3</v>
      </c>
    </row>
    <row r="5" spans="1:16" x14ac:dyDescent="0.35">
      <c r="A5">
        <f t="shared" ref="A5:A8" si="2">A4+1</f>
        <v>4</v>
      </c>
      <c r="B5">
        <v>65.826999999999998</v>
      </c>
      <c r="C5">
        <v>0</v>
      </c>
      <c r="D5" t="s">
        <v>37</v>
      </c>
      <c r="E5" t="s">
        <v>53</v>
      </c>
      <c r="I5">
        <f t="shared" ref="I5:I8" si="3">I4+1</f>
        <v>102</v>
      </c>
      <c r="J5">
        <v>3</v>
      </c>
      <c r="K5">
        <f t="shared" ref="K5:K8" si="4">A5</f>
        <v>4</v>
      </c>
      <c r="L5">
        <v>10000</v>
      </c>
      <c r="M5">
        <v>0</v>
      </c>
      <c r="N5">
        <f t="shared" si="1"/>
        <v>8.3333333333333339</v>
      </c>
      <c r="P5">
        <f t="shared" si="0"/>
        <v>9.6999999999994202E-2</v>
      </c>
    </row>
    <row r="6" spans="1:16" x14ac:dyDescent="0.35">
      <c r="A6">
        <f t="shared" si="2"/>
        <v>5</v>
      </c>
      <c r="B6">
        <v>66.323999999999998</v>
      </c>
      <c r="C6">
        <v>0</v>
      </c>
      <c r="G6">
        <v>1</v>
      </c>
      <c r="H6">
        <v>1</v>
      </c>
      <c r="I6">
        <f t="shared" si="3"/>
        <v>103</v>
      </c>
      <c r="J6">
        <v>4</v>
      </c>
      <c r="K6">
        <f t="shared" si="4"/>
        <v>5</v>
      </c>
      <c r="L6">
        <v>10000</v>
      </c>
      <c r="M6">
        <v>0</v>
      </c>
      <c r="N6">
        <f t="shared" si="1"/>
        <v>8.3333333333333339</v>
      </c>
      <c r="P6">
        <f t="shared" si="0"/>
        <v>0.49699999999999989</v>
      </c>
    </row>
    <row r="7" spans="1:16" x14ac:dyDescent="0.35">
      <c r="A7">
        <f t="shared" si="2"/>
        <v>6</v>
      </c>
      <c r="B7">
        <v>66.37</v>
      </c>
      <c r="C7">
        <v>0</v>
      </c>
      <c r="F7">
        <v>1</v>
      </c>
      <c r="I7">
        <f t="shared" si="3"/>
        <v>104</v>
      </c>
      <c r="J7">
        <v>5</v>
      </c>
      <c r="K7">
        <f t="shared" si="4"/>
        <v>6</v>
      </c>
      <c r="L7">
        <v>10000</v>
      </c>
      <c r="M7">
        <v>0</v>
      </c>
      <c r="N7">
        <f t="shared" si="1"/>
        <v>8.3333333333333339</v>
      </c>
      <c r="P7">
        <f t="shared" si="0"/>
        <v>4.600000000000648E-2</v>
      </c>
    </row>
    <row r="8" spans="1:16" x14ac:dyDescent="0.35">
      <c r="A8">
        <f t="shared" si="2"/>
        <v>7</v>
      </c>
      <c r="B8">
        <v>66.400000000000006</v>
      </c>
      <c r="C8">
        <v>0</v>
      </c>
      <c r="G8">
        <v>1</v>
      </c>
      <c r="H8">
        <v>0</v>
      </c>
      <c r="I8">
        <f t="shared" si="3"/>
        <v>105</v>
      </c>
      <c r="J8">
        <v>6</v>
      </c>
      <c r="K8">
        <f t="shared" si="4"/>
        <v>7</v>
      </c>
      <c r="L8">
        <v>10000</v>
      </c>
      <c r="M8">
        <v>0</v>
      </c>
      <c r="N8">
        <f t="shared" si="1"/>
        <v>8.3333333333333339</v>
      </c>
      <c r="P8">
        <f t="shared" si="0"/>
        <v>3.0000000000001137E-2</v>
      </c>
    </row>
    <row r="36" spans="7:7" x14ac:dyDescent="0.35">
      <c r="G36">
        <v>1</v>
      </c>
    </row>
  </sheetData>
  <autoFilter ref="A1:N8" xr:uid="{E3E4B1D4-0ED3-4C58-9016-2D2B4EAC13E1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2155-B777-4671-9AF5-4959F26D0B8A}">
  <dimension ref="A1:P37"/>
  <sheetViews>
    <sheetView zoomScale="70" zoomScaleNormal="70" workbookViewId="0">
      <selection activeCell="A2" sqref="A2:B8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65.760000000000005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65.78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8" si="0">B3-B2</f>
        <v>1.9999999999996021E-2</v>
      </c>
    </row>
    <row r="4" spans="1:16" x14ac:dyDescent="0.35">
      <c r="A4">
        <f t="shared" ref="A4:A8" si="1">A3+1</f>
        <v>3</v>
      </c>
      <c r="B4">
        <v>65.781999999999996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:K8" si="2">A4</f>
        <v>3</v>
      </c>
      <c r="L4">
        <v>10000</v>
      </c>
      <c r="M4">
        <v>0</v>
      </c>
      <c r="N4">
        <f>30/3.6</f>
        <v>8.3333333333333339</v>
      </c>
      <c r="P4">
        <f t="shared" si="0"/>
        <v>1.9999999999953388E-3</v>
      </c>
    </row>
    <row r="5" spans="1:16" x14ac:dyDescent="0.35">
      <c r="A5">
        <f t="shared" si="1"/>
        <v>4</v>
      </c>
      <c r="B5">
        <v>65.826999999999998</v>
      </c>
      <c r="C5">
        <v>0</v>
      </c>
      <c r="D5" t="s">
        <v>37</v>
      </c>
      <c r="E5" t="s">
        <v>54</v>
      </c>
      <c r="I5">
        <f t="shared" ref="I5:J7" si="3">I4+1</f>
        <v>102</v>
      </c>
      <c r="J5">
        <f t="shared" si="3"/>
        <v>3</v>
      </c>
      <c r="K5">
        <f t="shared" si="2"/>
        <v>4</v>
      </c>
      <c r="L5">
        <v>10000</v>
      </c>
      <c r="M5">
        <v>0</v>
      </c>
      <c r="N5">
        <f t="shared" ref="N5:N8" si="4">30/3.6</f>
        <v>8.3333333333333339</v>
      </c>
      <c r="P5">
        <f t="shared" si="0"/>
        <v>4.5000000000001705E-2</v>
      </c>
    </row>
    <row r="6" spans="1:16" x14ac:dyDescent="0.35">
      <c r="A6">
        <f t="shared" si="1"/>
        <v>5</v>
      </c>
      <c r="B6">
        <v>66.099999999999994</v>
      </c>
      <c r="C6">
        <v>0</v>
      </c>
      <c r="G6">
        <v>1</v>
      </c>
      <c r="H6">
        <v>1</v>
      </c>
      <c r="I6">
        <f t="shared" si="3"/>
        <v>103</v>
      </c>
      <c r="J6">
        <f t="shared" si="3"/>
        <v>4</v>
      </c>
      <c r="K6">
        <f t="shared" si="2"/>
        <v>5</v>
      </c>
      <c r="L6">
        <v>10000</v>
      </c>
      <c r="M6">
        <v>0</v>
      </c>
      <c r="N6">
        <f t="shared" si="4"/>
        <v>8.3333333333333339</v>
      </c>
      <c r="P6">
        <f t="shared" si="0"/>
        <v>0.27299999999999613</v>
      </c>
    </row>
    <row r="7" spans="1:16" x14ac:dyDescent="0.35">
      <c r="A7">
        <f t="shared" si="1"/>
        <v>6</v>
      </c>
      <c r="B7">
        <v>66.210999999999999</v>
      </c>
      <c r="C7">
        <v>0</v>
      </c>
      <c r="F7">
        <v>1</v>
      </c>
      <c r="I7">
        <f t="shared" si="3"/>
        <v>104</v>
      </c>
      <c r="J7">
        <f t="shared" si="3"/>
        <v>5</v>
      </c>
      <c r="K7">
        <f t="shared" si="2"/>
        <v>6</v>
      </c>
      <c r="L7">
        <v>10000</v>
      </c>
      <c r="M7">
        <v>0</v>
      </c>
      <c r="N7">
        <f t="shared" si="4"/>
        <v>8.3333333333333339</v>
      </c>
      <c r="P7">
        <f t="shared" si="0"/>
        <v>0.11100000000000421</v>
      </c>
    </row>
    <row r="8" spans="1:16" x14ac:dyDescent="0.35">
      <c r="A8">
        <f t="shared" si="1"/>
        <v>7</v>
      </c>
      <c r="B8">
        <v>66.215000000000003</v>
      </c>
      <c r="C8">
        <v>0</v>
      </c>
      <c r="G8">
        <v>1</v>
      </c>
      <c r="H8">
        <v>0</v>
      </c>
      <c r="I8">
        <f t="shared" ref="I8:J8" si="5">I7+1</f>
        <v>105</v>
      </c>
      <c r="J8">
        <f t="shared" si="5"/>
        <v>6</v>
      </c>
      <c r="K8">
        <f t="shared" si="2"/>
        <v>7</v>
      </c>
      <c r="L8">
        <v>10000</v>
      </c>
      <c r="M8">
        <v>0</v>
      </c>
      <c r="N8">
        <f t="shared" si="4"/>
        <v>8.3333333333333339</v>
      </c>
      <c r="P8">
        <f t="shared" si="0"/>
        <v>4.0000000000048885E-3</v>
      </c>
    </row>
    <row r="37" spans="7:7" x14ac:dyDescent="0.35">
      <c r="G37">
        <v>1</v>
      </c>
    </row>
  </sheetData>
  <autoFilter ref="A1:N8" xr:uid="{58032155-B777-4671-9AF5-4959F26D0B8A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60A9-0655-41D1-912A-AF7EF06016A6}">
  <dimension ref="A1:P39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65.715000000000003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65.724999999999994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10" si="0">B3-B2</f>
        <v>9.9999999999909051E-3</v>
      </c>
    </row>
    <row r="4" spans="1:16" x14ac:dyDescent="0.35">
      <c r="A4">
        <f>A3+1</f>
        <v>3</v>
      </c>
      <c r="B4">
        <v>65.73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:K10" si="1">A4</f>
        <v>3</v>
      </c>
      <c r="L4">
        <v>10000</v>
      </c>
      <c r="M4">
        <v>0</v>
      </c>
      <c r="N4">
        <f t="shared" ref="N4:N10" si="2">30/3.6</f>
        <v>8.3333333333333339</v>
      </c>
      <c r="P4">
        <f t="shared" si="0"/>
        <v>5.0000000000096634E-3</v>
      </c>
    </row>
    <row r="5" spans="1:16" x14ac:dyDescent="0.35">
      <c r="A5">
        <f t="shared" ref="A5:A10" si="3">A4+1</f>
        <v>4</v>
      </c>
      <c r="B5">
        <f>B3+0.013</f>
        <v>65.738</v>
      </c>
      <c r="C5">
        <v>0</v>
      </c>
      <c r="F5">
        <v>1</v>
      </c>
      <c r="I5">
        <f>I3+1</f>
        <v>101</v>
      </c>
      <c r="J5">
        <f t="shared" ref="J5:J10" si="4">J4+1</f>
        <v>3</v>
      </c>
      <c r="K5">
        <f t="shared" si="1"/>
        <v>4</v>
      </c>
      <c r="L5">
        <v>10000</v>
      </c>
      <c r="M5">
        <v>0</v>
      </c>
      <c r="N5">
        <f t="shared" si="2"/>
        <v>8.3333333333333339</v>
      </c>
      <c r="P5">
        <f t="shared" si="0"/>
        <v>7.9999999999955662E-3</v>
      </c>
    </row>
    <row r="6" spans="1:16" x14ac:dyDescent="0.35">
      <c r="A6">
        <f t="shared" si="3"/>
        <v>5</v>
      </c>
      <c r="B6">
        <v>65.78</v>
      </c>
      <c r="C6">
        <v>0</v>
      </c>
      <c r="G6">
        <v>1</v>
      </c>
      <c r="H6">
        <v>-1</v>
      </c>
      <c r="I6">
        <f>I5+1</f>
        <v>102</v>
      </c>
      <c r="J6">
        <f t="shared" si="4"/>
        <v>4</v>
      </c>
      <c r="K6">
        <f t="shared" si="1"/>
        <v>5</v>
      </c>
      <c r="L6">
        <v>10000</v>
      </c>
      <c r="M6">
        <v>0</v>
      </c>
      <c r="N6">
        <f t="shared" si="2"/>
        <v>8.3333333333333339</v>
      </c>
      <c r="P6">
        <f t="shared" si="0"/>
        <v>4.2000000000001592E-2</v>
      </c>
    </row>
    <row r="7" spans="1:16" x14ac:dyDescent="0.35">
      <c r="A7">
        <f t="shared" si="3"/>
        <v>6</v>
      </c>
      <c r="B7">
        <v>65.826999999999998</v>
      </c>
      <c r="C7">
        <v>0</v>
      </c>
      <c r="D7" t="s">
        <v>37</v>
      </c>
      <c r="E7" t="s">
        <v>55</v>
      </c>
      <c r="I7">
        <f t="shared" ref="I7:I10" si="5">I6+1</f>
        <v>103</v>
      </c>
      <c r="J7">
        <f t="shared" si="4"/>
        <v>5</v>
      </c>
      <c r="K7">
        <f t="shared" si="1"/>
        <v>6</v>
      </c>
      <c r="L7">
        <v>10000</v>
      </c>
      <c r="M7">
        <v>0</v>
      </c>
      <c r="N7">
        <f t="shared" si="2"/>
        <v>8.3333333333333339</v>
      </c>
      <c r="P7">
        <f t="shared" si="0"/>
        <v>4.6999999999997044E-2</v>
      </c>
    </row>
    <row r="8" spans="1:16" x14ac:dyDescent="0.35">
      <c r="A8">
        <f t="shared" si="3"/>
        <v>7</v>
      </c>
      <c r="B8">
        <v>66.099999999999994</v>
      </c>
      <c r="C8">
        <v>0</v>
      </c>
      <c r="G8">
        <v>1</v>
      </c>
      <c r="H8">
        <v>1</v>
      </c>
      <c r="I8">
        <f t="shared" si="5"/>
        <v>104</v>
      </c>
      <c r="J8">
        <f t="shared" si="4"/>
        <v>6</v>
      </c>
      <c r="K8">
        <f t="shared" si="1"/>
        <v>7</v>
      </c>
      <c r="L8">
        <v>10000</v>
      </c>
      <c r="M8">
        <v>0</v>
      </c>
      <c r="N8">
        <f t="shared" si="2"/>
        <v>8.3333333333333339</v>
      </c>
      <c r="P8">
        <f t="shared" si="0"/>
        <v>0.27299999999999613</v>
      </c>
    </row>
    <row r="9" spans="1:16" x14ac:dyDescent="0.35">
      <c r="A9">
        <f t="shared" si="3"/>
        <v>8</v>
      </c>
      <c r="B9">
        <v>66.210999999999999</v>
      </c>
      <c r="C9">
        <v>0</v>
      </c>
      <c r="F9">
        <v>1</v>
      </c>
      <c r="I9">
        <f t="shared" si="5"/>
        <v>105</v>
      </c>
      <c r="J9">
        <f t="shared" si="4"/>
        <v>7</v>
      </c>
      <c r="K9">
        <f t="shared" si="1"/>
        <v>8</v>
      </c>
      <c r="L9">
        <v>10000</v>
      </c>
      <c r="M9">
        <v>0</v>
      </c>
      <c r="N9">
        <f t="shared" si="2"/>
        <v>8.3333333333333339</v>
      </c>
      <c r="P9">
        <f t="shared" si="0"/>
        <v>0.11100000000000421</v>
      </c>
    </row>
    <row r="10" spans="1:16" x14ac:dyDescent="0.35">
      <c r="A10">
        <f t="shared" si="3"/>
        <v>9</v>
      </c>
      <c r="B10">
        <v>66.215000000000003</v>
      </c>
      <c r="C10">
        <v>0</v>
      </c>
      <c r="G10">
        <v>1</v>
      </c>
      <c r="H10">
        <v>0</v>
      </c>
      <c r="I10">
        <f t="shared" si="5"/>
        <v>106</v>
      </c>
      <c r="J10">
        <f t="shared" si="4"/>
        <v>8</v>
      </c>
      <c r="K10">
        <f t="shared" si="1"/>
        <v>9</v>
      </c>
      <c r="L10">
        <v>10000</v>
      </c>
      <c r="M10">
        <v>0</v>
      </c>
      <c r="N10">
        <f t="shared" si="2"/>
        <v>8.3333333333333339</v>
      </c>
      <c r="P10">
        <f t="shared" si="0"/>
        <v>4.0000000000048885E-3</v>
      </c>
    </row>
    <row r="39" spans="7:7" x14ac:dyDescent="0.35">
      <c r="G39">
        <v>1</v>
      </c>
    </row>
  </sheetData>
  <autoFilter ref="A1:N10" xr:uid="{A28160A9-0655-41D1-912A-AF7EF06016A6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976B-C7FC-4EE8-A9E5-0294C626F44B}">
  <dimension ref="A1:P40"/>
  <sheetViews>
    <sheetView zoomScale="70" zoomScaleNormal="70" workbookViewId="0">
      <selection activeCell="B9" sqref="B9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65.724999999999994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f>B2+0.013</f>
        <v>65.738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>B3-B2</f>
        <v>1.300000000000523E-2</v>
      </c>
    </row>
    <row r="4" spans="1:16" x14ac:dyDescent="0.35">
      <c r="A4">
        <f>A3+1</f>
        <v>3</v>
      </c>
      <c r="B4">
        <v>65.78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>30/3.6</f>
        <v>8.3333333333333339</v>
      </c>
      <c r="P4">
        <f>B4-B3</f>
        <v>4.2000000000001592E-2</v>
      </c>
    </row>
    <row r="5" spans="1:16" x14ac:dyDescent="0.35">
      <c r="A5">
        <f>A4+1</f>
        <v>4</v>
      </c>
      <c r="B5">
        <v>65.826999999999998</v>
      </c>
      <c r="C5">
        <v>0</v>
      </c>
      <c r="D5" t="s">
        <v>37</v>
      </c>
      <c r="E5" t="s">
        <v>55</v>
      </c>
      <c r="I5">
        <f>I4+1</f>
        <v>102</v>
      </c>
      <c r="J5">
        <v>3</v>
      </c>
      <c r="K5">
        <f>A5</f>
        <v>4</v>
      </c>
      <c r="L5">
        <v>10000</v>
      </c>
      <c r="M5">
        <v>0</v>
      </c>
      <c r="N5">
        <f>30/3.6</f>
        <v>8.3333333333333339</v>
      </c>
      <c r="P5">
        <f>B5-B4</f>
        <v>4.6999999999997044E-2</v>
      </c>
    </row>
    <row r="6" spans="1:16" x14ac:dyDescent="0.35">
      <c r="A6">
        <f t="shared" ref="A6:A12" si="0">A5+1</f>
        <v>5</v>
      </c>
      <c r="B6">
        <v>66.19</v>
      </c>
      <c r="C6">
        <v>0</v>
      </c>
      <c r="G6">
        <v>1</v>
      </c>
      <c r="H6">
        <v>1</v>
      </c>
      <c r="I6">
        <f t="shared" ref="I6:I12" si="1">I5+1</f>
        <v>103</v>
      </c>
      <c r="J6">
        <v>4</v>
      </c>
      <c r="K6">
        <f>A6</f>
        <v>5</v>
      </c>
      <c r="L6">
        <v>10000</v>
      </c>
      <c r="M6">
        <v>0</v>
      </c>
      <c r="N6">
        <f t="shared" ref="N6:N12" si="2">30/3.6</f>
        <v>8.3333333333333339</v>
      </c>
      <c r="P6">
        <f>B6-B5</f>
        <v>0.36299999999999955</v>
      </c>
    </row>
    <row r="7" spans="1:16" x14ac:dyDescent="0.35">
      <c r="A7">
        <f t="shared" si="0"/>
        <v>6</v>
      </c>
      <c r="B7">
        <v>66.224999999999994</v>
      </c>
      <c r="C7">
        <v>0</v>
      </c>
      <c r="I7">
        <f t="shared" si="1"/>
        <v>104</v>
      </c>
      <c r="J7">
        <v>5</v>
      </c>
      <c r="K7">
        <f>A7</f>
        <v>6</v>
      </c>
      <c r="L7">
        <v>10000</v>
      </c>
      <c r="M7">
        <v>0</v>
      </c>
      <c r="N7">
        <f t="shared" si="2"/>
        <v>8.3333333333333339</v>
      </c>
      <c r="P7">
        <f>B7-B6</f>
        <v>3.4999999999996589E-2</v>
      </c>
    </row>
    <row r="8" spans="1:16" x14ac:dyDescent="0.35">
      <c r="A8">
        <f t="shared" si="0"/>
        <v>7</v>
      </c>
      <c r="B8">
        <v>66.245000000000005</v>
      </c>
      <c r="C8">
        <v>0</v>
      </c>
      <c r="G8">
        <v>1</v>
      </c>
      <c r="H8">
        <v>-1</v>
      </c>
      <c r="I8">
        <f t="shared" si="1"/>
        <v>105</v>
      </c>
      <c r="J8">
        <v>6</v>
      </c>
      <c r="K8">
        <f t="shared" ref="K8:K12" si="3">A8</f>
        <v>7</v>
      </c>
      <c r="L8">
        <v>10000</v>
      </c>
      <c r="M8">
        <v>0</v>
      </c>
      <c r="N8">
        <f t="shared" si="2"/>
        <v>8.3333333333333339</v>
      </c>
      <c r="P8">
        <f t="shared" ref="P8:P12" si="4">B8-B7</f>
        <v>2.0000000000010232E-2</v>
      </c>
    </row>
    <row r="9" spans="1:16" x14ac:dyDescent="0.35">
      <c r="A9">
        <f t="shared" si="0"/>
        <v>8</v>
      </c>
      <c r="B9">
        <v>66.260999999999996</v>
      </c>
      <c r="C9">
        <v>0</v>
      </c>
      <c r="I9">
        <f t="shared" si="1"/>
        <v>106</v>
      </c>
      <c r="J9">
        <v>7</v>
      </c>
      <c r="K9">
        <f t="shared" si="3"/>
        <v>8</v>
      </c>
      <c r="L9">
        <v>10000</v>
      </c>
      <c r="M9">
        <v>0</v>
      </c>
      <c r="N9">
        <f t="shared" si="2"/>
        <v>8.3333333333333339</v>
      </c>
      <c r="P9">
        <f t="shared" si="4"/>
        <v>1.5999999999991132E-2</v>
      </c>
    </row>
    <row r="10" spans="1:16" x14ac:dyDescent="0.35">
      <c r="A10">
        <f t="shared" si="0"/>
        <v>9</v>
      </c>
      <c r="B10">
        <v>66.3</v>
      </c>
      <c r="C10">
        <v>0</v>
      </c>
      <c r="G10">
        <v>1</v>
      </c>
      <c r="H10">
        <v>1</v>
      </c>
      <c r="I10">
        <f t="shared" si="1"/>
        <v>107</v>
      </c>
      <c r="J10">
        <v>8</v>
      </c>
      <c r="K10">
        <f t="shared" si="3"/>
        <v>9</v>
      </c>
      <c r="L10">
        <v>10000</v>
      </c>
      <c r="M10">
        <v>0</v>
      </c>
      <c r="N10">
        <f t="shared" si="2"/>
        <v>8.3333333333333339</v>
      </c>
      <c r="P10">
        <f t="shared" si="4"/>
        <v>3.9000000000001478E-2</v>
      </c>
    </row>
    <row r="11" spans="1:16" x14ac:dyDescent="0.35">
      <c r="A11">
        <f t="shared" si="0"/>
        <v>10</v>
      </c>
      <c r="B11">
        <v>66.346999999999994</v>
      </c>
      <c r="C11">
        <v>0</v>
      </c>
      <c r="F11">
        <v>1</v>
      </c>
      <c r="I11">
        <f t="shared" si="1"/>
        <v>108</v>
      </c>
      <c r="J11">
        <v>9</v>
      </c>
      <c r="K11">
        <f t="shared" si="3"/>
        <v>10</v>
      </c>
      <c r="L11">
        <v>10000</v>
      </c>
      <c r="M11">
        <v>0</v>
      </c>
      <c r="N11">
        <f t="shared" si="2"/>
        <v>8.3333333333333339</v>
      </c>
      <c r="P11">
        <f t="shared" si="4"/>
        <v>4.6999999999997044E-2</v>
      </c>
    </row>
    <row r="12" spans="1:16" x14ac:dyDescent="0.35">
      <c r="A12">
        <f t="shared" si="0"/>
        <v>11</v>
      </c>
      <c r="B12">
        <v>66.45</v>
      </c>
      <c r="C12">
        <v>0</v>
      </c>
      <c r="G12">
        <v>1</v>
      </c>
      <c r="H12">
        <v>0</v>
      </c>
      <c r="I12">
        <f t="shared" si="1"/>
        <v>109</v>
      </c>
      <c r="J12">
        <v>10</v>
      </c>
      <c r="K12">
        <f t="shared" si="3"/>
        <v>11</v>
      </c>
      <c r="L12">
        <v>10000</v>
      </c>
      <c r="M12">
        <v>0</v>
      </c>
      <c r="N12">
        <f t="shared" si="2"/>
        <v>8.3333333333333339</v>
      </c>
      <c r="P12">
        <f t="shared" si="4"/>
        <v>0.10300000000000864</v>
      </c>
    </row>
    <row r="40" spans="7:7" x14ac:dyDescent="0.35">
      <c r="G40">
        <v>1</v>
      </c>
    </row>
  </sheetData>
  <autoFilter ref="A1:N12" xr:uid="{1F2E976B-C7FC-4EE8-A9E5-0294C626F44B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55B4-F8C0-415C-875C-B19163428E48}">
  <dimension ref="A1:P38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65.760000000000005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65.78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9" si="0">B3-B2</f>
        <v>1.9999999999996021E-2</v>
      </c>
    </row>
    <row r="4" spans="1:16" x14ac:dyDescent="0.35">
      <c r="A4">
        <f>A3+1</f>
        <v>3</v>
      </c>
      <c r="B4">
        <v>65.796999999999997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9" si="1">30/3.6</f>
        <v>8.3333333333333339</v>
      </c>
      <c r="P4">
        <f t="shared" si="0"/>
        <v>1.6999999999995907E-2</v>
      </c>
    </row>
    <row r="5" spans="1:16" x14ac:dyDescent="0.35">
      <c r="A5">
        <f>A4+1</f>
        <v>4</v>
      </c>
      <c r="B5">
        <v>65.826999999999998</v>
      </c>
      <c r="C5">
        <v>0</v>
      </c>
      <c r="D5" t="s">
        <v>37</v>
      </c>
      <c r="E5" t="s">
        <v>55</v>
      </c>
      <c r="I5">
        <f>I4+1</f>
        <v>102</v>
      </c>
      <c r="J5">
        <v>3</v>
      </c>
      <c r="K5">
        <f>A5</f>
        <v>4</v>
      </c>
      <c r="L5">
        <v>10000</v>
      </c>
      <c r="M5">
        <v>0</v>
      </c>
      <c r="N5">
        <f t="shared" si="1"/>
        <v>8.3333333333333339</v>
      </c>
      <c r="P5">
        <f t="shared" si="0"/>
        <v>3.0000000000001137E-2</v>
      </c>
    </row>
    <row r="6" spans="1:16" x14ac:dyDescent="0.35">
      <c r="A6">
        <f t="shared" ref="A6:A9" si="2">A5+1</f>
        <v>5</v>
      </c>
      <c r="B6">
        <v>66.224999999999994</v>
      </c>
      <c r="C6">
        <v>0</v>
      </c>
      <c r="G6">
        <v>1</v>
      </c>
      <c r="H6">
        <v>1</v>
      </c>
      <c r="I6">
        <f t="shared" ref="I6:I9" si="3">I5+1</f>
        <v>103</v>
      </c>
      <c r="J6">
        <v>4</v>
      </c>
      <c r="K6">
        <f t="shared" ref="K6:K9" si="4">A6</f>
        <v>5</v>
      </c>
      <c r="L6">
        <v>10000</v>
      </c>
      <c r="M6">
        <v>0</v>
      </c>
      <c r="N6">
        <f t="shared" si="1"/>
        <v>8.3333333333333339</v>
      </c>
      <c r="P6">
        <f t="shared" si="0"/>
        <v>0.39799999999999613</v>
      </c>
    </row>
    <row r="7" spans="1:16" x14ac:dyDescent="0.35">
      <c r="A7">
        <f t="shared" si="2"/>
        <v>6</v>
      </c>
      <c r="B7">
        <v>66.260999999999996</v>
      </c>
      <c r="C7">
        <v>0</v>
      </c>
      <c r="I7">
        <f t="shared" si="3"/>
        <v>104</v>
      </c>
      <c r="J7">
        <v>5</v>
      </c>
      <c r="K7">
        <f t="shared" si="4"/>
        <v>6</v>
      </c>
      <c r="L7">
        <v>10000</v>
      </c>
      <c r="M7">
        <v>0</v>
      </c>
      <c r="N7">
        <f t="shared" si="1"/>
        <v>8.3333333333333339</v>
      </c>
      <c r="P7">
        <f t="shared" si="0"/>
        <v>3.6000000000001364E-2</v>
      </c>
    </row>
    <row r="8" spans="1:16" x14ac:dyDescent="0.35">
      <c r="A8">
        <f t="shared" si="2"/>
        <v>7</v>
      </c>
      <c r="B8">
        <v>66.27</v>
      </c>
      <c r="C8">
        <v>0</v>
      </c>
      <c r="F8">
        <v>1</v>
      </c>
      <c r="I8">
        <f t="shared" si="3"/>
        <v>105</v>
      </c>
      <c r="J8">
        <v>6</v>
      </c>
      <c r="K8">
        <f t="shared" si="4"/>
        <v>7</v>
      </c>
      <c r="L8">
        <v>10000</v>
      </c>
      <c r="M8">
        <v>0</v>
      </c>
      <c r="N8">
        <f t="shared" si="1"/>
        <v>8.3333333333333339</v>
      </c>
      <c r="P8">
        <f t="shared" si="0"/>
        <v>9.0000000000003411E-3</v>
      </c>
    </row>
    <row r="9" spans="1:16" x14ac:dyDescent="0.35">
      <c r="A9">
        <f t="shared" si="2"/>
        <v>8</v>
      </c>
      <c r="B9">
        <v>66.3</v>
      </c>
      <c r="C9">
        <v>0</v>
      </c>
      <c r="G9">
        <v>1</v>
      </c>
      <c r="H9">
        <v>0</v>
      </c>
      <c r="I9">
        <f t="shared" si="3"/>
        <v>106</v>
      </c>
      <c r="J9">
        <v>7</v>
      </c>
      <c r="K9">
        <f t="shared" si="4"/>
        <v>8</v>
      </c>
      <c r="L9">
        <v>10000</v>
      </c>
      <c r="M9">
        <v>0</v>
      </c>
      <c r="N9">
        <f t="shared" si="1"/>
        <v>8.3333333333333339</v>
      </c>
      <c r="P9">
        <f t="shared" si="0"/>
        <v>3.0000000000001137E-2</v>
      </c>
    </row>
    <row r="38" spans="7:7" x14ac:dyDescent="0.35">
      <c r="G38">
        <v>1</v>
      </c>
    </row>
  </sheetData>
  <autoFilter ref="A1:N9" xr:uid="{809D55B4-F8C0-415C-875C-B19163428E48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5814-2182-4A09-BD91-04FEFB724909}">
  <dimension ref="A1:P37"/>
  <sheetViews>
    <sheetView zoomScale="70" zoomScaleNormal="70" workbookViewId="0">
      <selection activeCell="E1" sqref="E1:E1048576"/>
    </sheetView>
  </sheetViews>
  <sheetFormatPr defaultRowHeight="14.5" x14ac:dyDescent="0.35"/>
  <cols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65.78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65.796999999999997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8" si="0">B3-B2</f>
        <v>1.6999999999995907E-2</v>
      </c>
    </row>
    <row r="4" spans="1:16" x14ac:dyDescent="0.35">
      <c r="A4">
        <f>A3+1</f>
        <v>3</v>
      </c>
      <c r="B4">
        <v>65.81</v>
      </c>
      <c r="C4">
        <v>0</v>
      </c>
      <c r="G4">
        <v>1</v>
      </c>
      <c r="H4">
        <v>-1</v>
      </c>
      <c r="I4">
        <f>I3+1</f>
        <v>101</v>
      </c>
      <c r="J4">
        <v>2</v>
      </c>
      <c r="K4">
        <f>A4</f>
        <v>3</v>
      </c>
      <c r="L4">
        <v>10000</v>
      </c>
      <c r="M4">
        <v>0</v>
      </c>
      <c r="N4">
        <f t="shared" ref="N4:N8" si="1">30/3.6</f>
        <v>8.3333333333333339</v>
      </c>
      <c r="P4">
        <f t="shared" si="0"/>
        <v>1.300000000000523E-2</v>
      </c>
    </row>
    <row r="5" spans="1:16" x14ac:dyDescent="0.35">
      <c r="A5">
        <f>A4+1</f>
        <v>4</v>
      </c>
      <c r="B5">
        <v>65.826999999999998</v>
      </c>
      <c r="C5">
        <v>0</v>
      </c>
      <c r="D5" t="s">
        <v>37</v>
      </c>
      <c r="E5" t="s">
        <v>55</v>
      </c>
      <c r="I5">
        <f>I4+1</f>
        <v>102</v>
      </c>
      <c r="J5">
        <v>3</v>
      </c>
      <c r="K5">
        <f>A5</f>
        <v>4</v>
      </c>
      <c r="L5">
        <v>10000</v>
      </c>
      <c r="M5">
        <v>0</v>
      </c>
      <c r="N5">
        <f t="shared" si="1"/>
        <v>8.3333333333333339</v>
      </c>
      <c r="P5">
        <f t="shared" si="0"/>
        <v>1.6999999999995907E-2</v>
      </c>
    </row>
    <row r="6" spans="1:16" x14ac:dyDescent="0.35">
      <c r="A6">
        <f t="shared" ref="A6:A8" si="2">A5+1</f>
        <v>5</v>
      </c>
      <c r="B6">
        <v>66.224999999999994</v>
      </c>
      <c r="C6">
        <v>0</v>
      </c>
      <c r="G6">
        <v>1</v>
      </c>
      <c r="H6">
        <v>1</v>
      </c>
      <c r="I6">
        <f t="shared" ref="I6:I8" si="3">I5+1</f>
        <v>103</v>
      </c>
      <c r="J6">
        <v>4</v>
      </c>
      <c r="K6">
        <f t="shared" ref="K6:K8" si="4">A6</f>
        <v>5</v>
      </c>
      <c r="L6">
        <v>10000</v>
      </c>
      <c r="M6">
        <v>0</v>
      </c>
      <c r="N6">
        <f t="shared" si="1"/>
        <v>8.3333333333333339</v>
      </c>
      <c r="P6">
        <f t="shared" si="0"/>
        <v>0.39799999999999613</v>
      </c>
    </row>
    <row r="7" spans="1:16" x14ac:dyDescent="0.35">
      <c r="A7">
        <f t="shared" si="2"/>
        <v>6</v>
      </c>
      <c r="B7">
        <v>66.260999999999996</v>
      </c>
      <c r="C7">
        <v>0</v>
      </c>
      <c r="F7">
        <v>1</v>
      </c>
      <c r="I7">
        <f t="shared" si="3"/>
        <v>104</v>
      </c>
      <c r="J7">
        <v>5</v>
      </c>
      <c r="K7">
        <f t="shared" si="4"/>
        <v>6</v>
      </c>
      <c r="L7">
        <v>10000</v>
      </c>
      <c r="M7">
        <v>0</v>
      </c>
      <c r="N7">
        <f t="shared" si="1"/>
        <v>8.3333333333333339</v>
      </c>
      <c r="P7">
        <f t="shared" si="0"/>
        <v>3.6000000000001364E-2</v>
      </c>
    </row>
    <row r="8" spans="1:16" x14ac:dyDescent="0.35">
      <c r="A8">
        <f t="shared" si="2"/>
        <v>7</v>
      </c>
      <c r="B8">
        <v>66.3</v>
      </c>
      <c r="C8">
        <v>0</v>
      </c>
      <c r="G8">
        <v>1</v>
      </c>
      <c r="H8">
        <v>0</v>
      </c>
      <c r="I8">
        <f t="shared" si="3"/>
        <v>105</v>
      </c>
      <c r="J8">
        <v>6</v>
      </c>
      <c r="K8">
        <f t="shared" si="4"/>
        <v>7</v>
      </c>
      <c r="L8">
        <v>10000</v>
      </c>
      <c r="M8">
        <v>0</v>
      </c>
      <c r="N8">
        <f t="shared" si="1"/>
        <v>8.3333333333333339</v>
      </c>
      <c r="P8">
        <f t="shared" si="0"/>
        <v>3.9000000000001478E-2</v>
      </c>
    </row>
    <row r="37" spans="7:7" x14ac:dyDescent="0.35">
      <c r="G37">
        <v>1</v>
      </c>
    </row>
  </sheetData>
  <autoFilter ref="A1:N8" xr:uid="{53AC5814-2182-4A09-BD91-04FEFB724909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F6B8-01B3-4FA7-8E4C-4AA40503BABD}">
  <dimension ref="A1:P9"/>
  <sheetViews>
    <sheetView zoomScale="70" zoomScaleNormal="70" workbookViewId="0">
      <selection activeCell="D5" activeCellId="1" sqref="B5 D5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70.83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70.846999999999994</v>
      </c>
      <c r="C3">
        <v>0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>B3-B2</f>
        <v>1.6999999999995907E-2</v>
      </c>
    </row>
    <row r="4" spans="1:16" x14ac:dyDescent="0.35">
      <c r="A4">
        <f t="shared" ref="A4:A9" si="0">A3+1</f>
        <v>3</v>
      </c>
      <c r="B4">
        <v>70.900000000000006</v>
      </c>
      <c r="C4">
        <v>0</v>
      </c>
      <c r="G4">
        <v>1</v>
      </c>
      <c r="H4">
        <v>1</v>
      </c>
      <c r="I4">
        <f>I3+1</f>
        <v>101</v>
      </c>
      <c r="J4">
        <f>J3+1</f>
        <v>2</v>
      </c>
      <c r="K4">
        <f t="shared" ref="K4:K9" si="1">A4</f>
        <v>3</v>
      </c>
      <c r="L4">
        <v>10000</v>
      </c>
      <c r="M4">
        <v>1</v>
      </c>
      <c r="N4">
        <f t="shared" ref="N4:N9" si="2">30/3.6</f>
        <v>8.3333333333333339</v>
      </c>
      <c r="P4">
        <f t="shared" ref="P4:P9" si="3">B4-B3</f>
        <v>5.3000000000011482E-2</v>
      </c>
    </row>
    <row r="5" spans="1:16" x14ac:dyDescent="0.35">
      <c r="A5">
        <f t="shared" si="0"/>
        <v>4</v>
      </c>
      <c r="B5">
        <v>71.36</v>
      </c>
      <c r="C5">
        <v>0</v>
      </c>
      <c r="D5" t="s">
        <v>44</v>
      </c>
      <c r="E5" t="s">
        <v>55</v>
      </c>
      <c r="I5">
        <f t="shared" ref="I5:I9" si="4">I4+1</f>
        <v>102</v>
      </c>
      <c r="J5">
        <f>J4+1</f>
        <v>3</v>
      </c>
      <c r="K5">
        <f t="shared" si="1"/>
        <v>4</v>
      </c>
      <c r="L5">
        <v>10000</v>
      </c>
      <c r="M5">
        <v>2</v>
      </c>
      <c r="N5">
        <f t="shared" si="2"/>
        <v>8.3333333333333339</v>
      </c>
      <c r="P5">
        <f t="shared" si="3"/>
        <v>0.45999999999999375</v>
      </c>
    </row>
    <row r="6" spans="1:16" x14ac:dyDescent="0.35">
      <c r="A6">
        <f t="shared" si="0"/>
        <v>5</v>
      </c>
      <c r="B6">
        <v>71.400000000000006</v>
      </c>
      <c r="C6">
        <v>0</v>
      </c>
      <c r="G6">
        <v>1</v>
      </c>
      <c r="H6">
        <v>-1</v>
      </c>
      <c r="I6">
        <f t="shared" si="4"/>
        <v>103</v>
      </c>
      <c r="J6">
        <f t="shared" ref="J6:J9" si="5">J5+1</f>
        <v>4</v>
      </c>
      <c r="K6">
        <f t="shared" si="1"/>
        <v>5</v>
      </c>
      <c r="L6">
        <v>10000</v>
      </c>
      <c r="M6">
        <v>3</v>
      </c>
      <c r="N6">
        <f t="shared" si="2"/>
        <v>8.3333333333333339</v>
      </c>
      <c r="P6">
        <f t="shared" si="3"/>
        <v>4.0000000000006253E-2</v>
      </c>
    </row>
    <row r="7" spans="1:16" x14ac:dyDescent="0.35">
      <c r="A7">
        <f t="shared" si="0"/>
        <v>6</v>
      </c>
      <c r="B7">
        <v>71.418999999999997</v>
      </c>
      <c r="C7">
        <v>0</v>
      </c>
      <c r="F7">
        <v>1</v>
      </c>
      <c r="I7">
        <f t="shared" si="4"/>
        <v>104</v>
      </c>
      <c r="J7">
        <f t="shared" si="5"/>
        <v>5</v>
      </c>
      <c r="K7">
        <f t="shared" si="1"/>
        <v>6</v>
      </c>
      <c r="L7">
        <v>10000</v>
      </c>
      <c r="M7">
        <v>4</v>
      </c>
      <c r="N7">
        <f t="shared" si="2"/>
        <v>8.3333333333333339</v>
      </c>
      <c r="P7">
        <f t="shared" si="3"/>
        <v>1.8999999999991246E-2</v>
      </c>
    </row>
    <row r="8" spans="1:16" x14ac:dyDescent="0.35">
      <c r="A8">
        <f t="shared" si="0"/>
        <v>7</v>
      </c>
      <c r="B8">
        <v>71.430000000000007</v>
      </c>
      <c r="C8">
        <v>0</v>
      </c>
      <c r="G8">
        <v>1</v>
      </c>
      <c r="H8">
        <v>1</v>
      </c>
      <c r="I8">
        <f t="shared" si="4"/>
        <v>105</v>
      </c>
      <c r="J8">
        <f t="shared" si="5"/>
        <v>6</v>
      </c>
      <c r="K8">
        <f t="shared" si="1"/>
        <v>7</v>
      </c>
      <c r="L8">
        <v>10000</v>
      </c>
      <c r="M8">
        <v>5</v>
      </c>
      <c r="N8">
        <f t="shared" si="2"/>
        <v>8.3333333333333339</v>
      </c>
      <c r="P8">
        <f t="shared" si="3"/>
        <v>1.1000000000009891E-2</v>
      </c>
    </row>
    <row r="9" spans="1:16" x14ac:dyDescent="0.35">
      <c r="A9">
        <f t="shared" si="0"/>
        <v>8</v>
      </c>
      <c r="B9">
        <v>71.5</v>
      </c>
      <c r="C9">
        <v>0</v>
      </c>
      <c r="G9">
        <v>1</v>
      </c>
      <c r="H9">
        <v>0</v>
      </c>
      <c r="I9">
        <f t="shared" si="4"/>
        <v>106</v>
      </c>
      <c r="J9">
        <f t="shared" si="5"/>
        <v>7</v>
      </c>
      <c r="K9">
        <f t="shared" si="1"/>
        <v>8</v>
      </c>
      <c r="L9">
        <v>10000</v>
      </c>
      <c r="M9">
        <v>6</v>
      </c>
      <c r="N9">
        <f t="shared" si="2"/>
        <v>8.3333333333333339</v>
      </c>
      <c r="P9">
        <f t="shared" si="3"/>
        <v>6.9999999999993179E-2</v>
      </c>
    </row>
  </sheetData>
  <autoFilter ref="A1:N9" xr:uid="{EDB9F6B8-01B3-4FA7-8E4C-4AA40503BABD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F46B-6188-49FF-8B5D-3D96ECEF9F65}">
  <dimension ref="A1:P8"/>
  <sheetViews>
    <sheetView zoomScale="70" zoomScaleNormal="70" workbookViewId="0">
      <selection activeCell="E1" sqref="E1:E1048576"/>
    </sheetView>
  </sheetViews>
  <sheetFormatPr defaultRowHeight="14.5" x14ac:dyDescent="0.35"/>
  <cols>
    <col min="4" max="4" width="11.5429687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70.819999999999993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70.828999999999994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>B3-B2</f>
        <v>9.0000000000003411E-3</v>
      </c>
    </row>
    <row r="4" spans="1:16" x14ac:dyDescent="0.35">
      <c r="A4">
        <f t="shared" ref="A4:A8" si="0">A3+1</f>
        <v>3</v>
      </c>
      <c r="B4">
        <v>70.900000000000006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 t="shared" ref="K4:K8" si="1">A4</f>
        <v>3</v>
      </c>
      <c r="L4">
        <v>10000</v>
      </c>
      <c r="M4">
        <v>0</v>
      </c>
      <c r="N4">
        <f>30/3.6</f>
        <v>8.3333333333333339</v>
      </c>
      <c r="P4">
        <f t="shared" ref="P4:P8" si="2">B4-B3</f>
        <v>7.1000000000012164E-2</v>
      </c>
    </row>
    <row r="5" spans="1:16" x14ac:dyDescent="0.35">
      <c r="A5">
        <f t="shared" si="0"/>
        <v>4</v>
      </c>
      <c r="B5">
        <v>71.36</v>
      </c>
      <c r="C5">
        <v>0</v>
      </c>
      <c r="D5" t="s">
        <v>44</v>
      </c>
      <c r="E5" t="s">
        <v>55</v>
      </c>
      <c r="I5">
        <f>I3+1</f>
        <v>101</v>
      </c>
      <c r="J5">
        <f t="shared" ref="J5:J8" si="3">J4+1</f>
        <v>3</v>
      </c>
      <c r="K5">
        <f t="shared" si="1"/>
        <v>4</v>
      </c>
      <c r="L5">
        <v>10000</v>
      </c>
      <c r="M5">
        <v>0</v>
      </c>
      <c r="N5">
        <f t="shared" ref="N5:N8" si="4">30/3.6</f>
        <v>8.3333333333333339</v>
      </c>
      <c r="P5">
        <f t="shared" si="2"/>
        <v>0.45999999999999375</v>
      </c>
    </row>
    <row r="6" spans="1:16" x14ac:dyDescent="0.35">
      <c r="A6">
        <f t="shared" si="0"/>
        <v>5</v>
      </c>
      <c r="B6">
        <v>71.418999999999997</v>
      </c>
      <c r="C6">
        <v>0</v>
      </c>
      <c r="G6">
        <v>1</v>
      </c>
      <c r="H6">
        <v>1</v>
      </c>
      <c r="I6">
        <f>I5+1</f>
        <v>102</v>
      </c>
      <c r="J6">
        <f t="shared" si="3"/>
        <v>4</v>
      </c>
      <c r="K6">
        <f t="shared" si="1"/>
        <v>5</v>
      </c>
      <c r="L6">
        <v>10000</v>
      </c>
      <c r="M6">
        <v>0</v>
      </c>
      <c r="N6">
        <f t="shared" si="4"/>
        <v>8.3333333333333339</v>
      </c>
      <c r="P6">
        <f t="shared" si="2"/>
        <v>5.8999999999997499E-2</v>
      </c>
    </row>
    <row r="7" spans="1:16" x14ac:dyDescent="0.35">
      <c r="A7">
        <f t="shared" si="0"/>
        <v>6</v>
      </c>
      <c r="B7">
        <v>71.456999999999994</v>
      </c>
      <c r="C7">
        <v>0</v>
      </c>
      <c r="F7">
        <v>1</v>
      </c>
      <c r="I7">
        <f>I6+1</f>
        <v>103</v>
      </c>
      <c r="J7">
        <f t="shared" si="3"/>
        <v>5</v>
      </c>
      <c r="K7">
        <f t="shared" si="1"/>
        <v>6</v>
      </c>
      <c r="L7">
        <v>10000</v>
      </c>
      <c r="M7">
        <v>0</v>
      </c>
      <c r="N7">
        <f t="shared" si="4"/>
        <v>8.3333333333333339</v>
      </c>
      <c r="P7">
        <f t="shared" si="2"/>
        <v>3.7999999999996703E-2</v>
      </c>
    </row>
    <row r="8" spans="1:16" x14ac:dyDescent="0.35">
      <c r="A8">
        <f t="shared" si="0"/>
        <v>7</v>
      </c>
      <c r="B8">
        <v>71.5</v>
      </c>
      <c r="C8">
        <v>0</v>
      </c>
      <c r="G8">
        <v>1</v>
      </c>
      <c r="H8">
        <v>0</v>
      </c>
      <c r="I8">
        <f>I7+1</f>
        <v>104</v>
      </c>
      <c r="J8">
        <f t="shared" si="3"/>
        <v>6</v>
      </c>
      <c r="K8">
        <f t="shared" si="1"/>
        <v>7</v>
      </c>
      <c r="L8">
        <v>10000</v>
      </c>
      <c r="M8">
        <v>0</v>
      </c>
      <c r="N8">
        <f t="shared" si="4"/>
        <v>8.3333333333333339</v>
      </c>
      <c r="P8">
        <f t="shared" si="2"/>
        <v>4.3000000000006366E-2</v>
      </c>
    </row>
  </sheetData>
  <autoFilter ref="A1:N8" xr:uid="{0A70F46B-6188-49FF-8B5D-3D96ECEF9F65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EC1-6FC9-41D4-8AB7-A095147517F3}">
  <dimension ref="A1:P8"/>
  <sheetViews>
    <sheetView zoomScale="70" zoomScaleNormal="70" workbookViewId="0">
      <selection activeCell="D5" activeCellId="1" sqref="B5 D5"/>
    </sheetView>
  </sheetViews>
  <sheetFormatPr defaultRowHeight="14.5" x14ac:dyDescent="0.35"/>
  <cols>
    <col min="4" max="4" width="15.453125" bestFit="1" customWidth="1"/>
    <col min="5" max="5" width="14.90625" bestFit="1" customWidth="1"/>
  </cols>
  <sheetData>
    <row r="1" spans="1:16" x14ac:dyDescent="0.35">
      <c r="A1" t="s">
        <v>0</v>
      </c>
      <c r="B1" t="s">
        <v>2</v>
      </c>
      <c r="C1" t="s">
        <v>3</v>
      </c>
      <c r="D1" t="s">
        <v>9</v>
      </c>
      <c r="E1" t="s">
        <v>46</v>
      </c>
      <c r="F1" t="s">
        <v>13</v>
      </c>
      <c r="G1" t="s">
        <v>10</v>
      </c>
      <c r="H1" t="s">
        <v>27</v>
      </c>
      <c r="I1" t="s">
        <v>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P1" t="s">
        <v>12</v>
      </c>
    </row>
    <row r="2" spans="1:16" x14ac:dyDescent="0.35">
      <c r="A2">
        <v>1</v>
      </c>
      <c r="B2">
        <v>71.7</v>
      </c>
      <c r="C2">
        <v>0</v>
      </c>
      <c r="G2">
        <v>1</v>
      </c>
      <c r="H2">
        <v>0</v>
      </c>
    </row>
    <row r="3" spans="1:16" x14ac:dyDescent="0.35">
      <c r="A3">
        <f>A2+1</f>
        <v>2</v>
      </c>
      <c r="B3">
        <v>71.823999999999998</v>
      </c>
      <c r="C3">
        <v>0</v>
      </c>
      <c r="F3">
        <v>1</v>
      </c>
      <c r="I3">
        <v>100</v>
      </c>
      <c r="J3">
        <v>1</v>
      </c>
      <c r="K3">
        <f>A3</f>
        <v>2</v>
      </c>
      <c r="L3">
        <v>10000</v>
      </c>
      <c r="M3">
        <v>0</v>
      </c>
      <c r="N3">
        <f>30/3.6</f>
        <v>8.3333333333333339</v>
      </c>
      <c r="P3">
        <f t="shared" ref="P3:P8" si="0">B3-B2</f>
        <v>0.12399999999999523</v>
      </c>
    </row>
    <row r="4" spans="1:16" x14ac:dyDescent="0.35">
      <c r="A4">
        <f t="shared" ref="A4:A8" si="1">A3+1</f>
        <v>3</v>
      </c>
      <c r="B4">
        <v>71.84</v>
      </c>
      <c r="C4">
        <v>0</v>
      </c>
      <c r="G4">
        <v>1</v>
      </c>
      <c r="H4">
        <v>-1</v>
      </c>
      <c r="I4">
        <f>I3+1</f>
        <v>101</v>
      </c>
      <c r="J4">
        <f>J3+1</f>
        <v>2</v>
      </c>
      <c r="K4">
        <f>A4</f>
        <v>3</v>
      </c>
      <c r="L4">
        <v>10000</v>
      </c>
      <c r="M4">
        <v>0</v>
      </c>
      <c r="N4">
        <f t="shared" ref="N4:N8" si="2">30/3.6</f>
        <v>8.3333333333333339</v>
      </c>
      <c r="P4">
        <f t="shared" si="0"/>
        <v>1.6000000000005343E-2</v>
      </c>
    </row>
    <row r="5" spans="1:16" x14ac:dyDescent="0.35">
      <c r="A5">
        <f t="shared" si="1"/>
        <v>4</v>
      </c>
      <c r="B5">
        <v>71.86</v>
      </c>
      <c r="C5">
        <v>0</v>
      </c>
      <c r="D5" t="s">
        <v>56</v>
      </c>
      <c r="E5" t="s">
        <v>55</v>
      </c>
      <c r="I5">
        <f t="shared" ref="I5:J5" si="3">I4+1</f>
        <v>102</v>
      </c>
      <c r="J5">
        <f t="shared" si="3"/>
        <v>3</v>
      </c>
      <c r="K5">
        <f>A5</f>
        <v>4</v>
      </c>
      <c r="L5">
        <v>10000</v>
      </c>
      <c r="M5">
        <v>0</v>
      </c>
      <c r="N5">
        <f t="shared" si="2"/>
        <v>8.3333333333333339</v>
      </c>
      <c r="P5">
        <f t="shared" si="0"/>
        <v>1.9999999999996021E-2</v>
      </c>
    </row>
    <row r="6" spans="1:16" x14ac:dyDescent="0.35">
      <c r="A6">
        <f t="shared" si="1"/>
        <v>5</v>
      </c>
      <c r="B6">
        <v>71.95</v>
      </c>
      <c r="C6">
        <v>0</v>
      </c>
      <c r="G6">
        <v>1</v>
      </c>
      <c r="H6">
        <v>1</v>
      </c>
      <c r="I6">
        <f t="shared" ref="I6:J6" si="4">I5+1</f>
        <v>103</v>
      </c>
      <c r="J6">
        <f t="shared" si="4"/>
        <v>4</v>
      </c>
      <c r="K6">
        <f t="shared" ref="K6:K8" si="5">A6</f>
        <v>5</v>
      </c>
      <c r="L6">
        <v>10000</v>
      </c>
      <c r="M6">
        <v>0</v>
      </c>
      <c r="N6">
        <f t="shared" si="2"/>
        <v>8.3333333333333339</v>
      </c>
      <c r="P6">
        <f t="shared" si="0"/>
        <v>9.0000000000003411E-2</v>
      </c>
    </row>
    <row r="7" spans="1:16" x14ac:dyDescent="0.35">
      <c r="A7">
        <f t="shared" si="1"/>
        <v>6</v>
      </c>
      <c r="B7">
        <v>71.998000000000005</v>
      </c>
      <c r="C7">
        <v>0</v>
      </c>
      <c r="F7">
        <v>1</v>
      </c>
      <c r="I7">
        <f t="shared" ref="I7:J7" si="6">I6+1</f>
        <v>104</v>
      </c>
      <c r="J7">
        <f t="shared" si="6"/>
        <v>5</v>
      </c>
      <c r="K7">
        <f t="shared" si="5"/>
        <v>6</v>
      </c>
      <c r="L7">
        <v>10000</v>
      </c>
      <c r="M7">
        <v>0</v>
      </c>
      <c r="N7">
        <f t="shared" si="2"/>
        <v>8.3333333333333339</v>
      </c>
      <c r="P7">
        <f t="shared" si="0"/>
        <v>4.8000000000001819E-2</v>
      </c>
    </row>
    <row r="8" spans="1:16" x14ac:dyDescent="0.35">
      <c r="A8">
        <f t="shared" si="1"/>
        <v>7</v>
      </c>
      <c r="B8">
        <v>72.3</v>
      </c>
      <c r="C8">
        <v>0</v>
      </c>
      <c r="G8">
        <v>1</v>
      </c>
      <c r="H8">
        <v>0</v>
      </c>
      <c r="I8">
        <f t="shared" ref="I8:J8" si="7">I7+1</f>
        <v>105</v>
      </c>
      <c r="J8">
        <f t="shared" si="7"/>
        <v>6</v>
      </c>
      <c r="K8">
        <f t="shared" si="5"/>
        <v>7</v>
      </c>
      <c r="L8">
        <v>10000</v>
      </c>
      <c r="M8">
        <v>0</v>
      </c>
      <c r="N8">
        <f t="shared" si="2"/>
        <v>8.3333333333333339</v>
      </c>
      <c r="P8">
        <f t="shared" si="0"/>
        <v>0.3019999999999925</v>
      </c>
    </row>
  </sheetData>
  <autoFilter ref="A1:N8" xr:uid="{C942DEC1-6FC9-41D4-8AB7-A095147517F3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DC30-0318-4225-94A0-F3FCF1A11992}">
  <dimension ref="A1:O110"/>
  <sheetViews>
    <sheetView zoomScale="70" zoomScaleNormal="70" workbookViewId="0">
      <selection activeCell="L5" sqref="L5"/>
    </sheetView>
  </sheetViews>
  <sheetFormatPr defaultRowHeight="14.5" x14ac:dyDescent="0.35"/>
  <sheetData>
    <row r="1" spans="1:15" x14ac:dyDescent="0.35">
      <c r="A1" t="s">
        <v>501</v>
      </c>
      <c r="B1" t="s">
        <v>498</v>
      </c>
      <c r="C1" t="s">
        <v>499</v>
      </c>
      <c r="D1" t="s">
        <v>500</v>
      </c>
      <c r="H1" t="s">
        <v>501</v>
      </c>
      <c r="I1" t="s">
        <v>498</v>
      </c>
      <c r="J1" t="s">
        <v>499</v>
      </c>
      <c r="K1" t="s">
        <v>500</v>
      </c>
    </row>
    <row r="2" spans="1:15" x14ac:dyDescent="0.35">
      <c r="A2">
        <v>0</v>
      </c>
      <c r="B2">
        <v>11.34</v>
      </c>
      <c r="C2">
        <v>1</v>
      </c>
      <c r="D2">
        <v>11.42</v>
      </c>
      <c r="H2">
        <v>0</v>
      </c>
      <c r="I2">
        <v>11.34</v>
      </c>
      <c r="J2">
        <v>1</v>
      </c>
      <c r="K2">
        <v>11.42</v>
      </c>
    </row>
    <row r="3" spans="1:15" x14ac:dyDescent="0.35">
      <c r="A3">
        <v>0</v>
      </c>
      <c r="B3">
        <v>11.59</v>
      </c>
      <c r="C3">
        <v>3</v>
      </c>
      <c r="D3">
        <v>11.676</v>
      </c>
      <c r="H3">
        <v>0</v>
      </c>
      <c r="I3">
        <v>11.59</v>
      </c>
      <c r="J3">
        <v>3</v>
      </c>
      <c r="K3">
        <v>11.676</v>
      </c>
    </row>
    <row r="4" spans="1:15" x14ac:dyDescent="0.35">
      <c r="A4">
        <v>0</v>
      </c>
      <c r="B4">
        <v>12.98</v>
      </c>
      <c r="C4">
        <v>1</v>
      </c>
      <c r="D4">
        <v>13.06</v>
      </c>
      <c r="H4">
        <v>0</v>
      </c>
      <c r="I4">
        <v>12.98</v>
      </c>
      <c r="J4">
        <v>1</v>
      </c>
      <c r="K4">
        <v>13.06</v>
      </c>
    </row>
    <row r="5" spans="1:15" x14ac:dyDescent="0.35">
      <c r="A5">
        <v>0</v>
      </c>
      <c r="B5">
        <v>30.06</v>
      </c>
      <c r="C5">
        <v>1</v>
      </c>
      <c r="D5">
        <v>30.2</v>
      </c>
      <c r="E5" t="s">
        <v>28</v>
      </c>
      <c r="H5">
        <v>0</v>
      </c>
      <c r="I5">
        <v>30.06</v>
      </c>
      <c r="J5">
        <v>1</v>
      </c>
      <c r="K5">
        <v>30.2</v>
      </c>
      <c r="L5">
        <f>100/3.6</f>
        <v>27.777777777777779</v>
      </c>
    </row>
    <row r="6" spans="1:15" x14ac:dyDescent="0.35">
      <c r="A6">
        <v>0</v>
      </c>
      <c r="B6">
        <v>33.676000000000002</v>
      </c>
      <c r="C6">
        <v>1</v>
      </c>
      <c r="D6">
        <v>33.746000000000002</v>
      </c>
      <c r="H6">
        <v>0</v>
      </c>
      <c r="I6">
        <v>33.676000000000002</v>
      </c>
      <c r="J6">
        <v>1</v>
      </c>
      <c r="K6">
        <v>33.746000000000002</v>
      </c>
    </row>
    <row r="7" spans="1:15" x14ac:dyDescent="0.35">
      <c r="A7">
        <v>1</v>
      </c>
      <c r="B7">
        <v>11.5</v>
      </c>
      <c r="C7">
        <v>0</v>
      </c>
      <c r="D7">
        <v>11.59</v>
      </c>
      <c r="H7">
        <v>1</v>
      </c>
      <c r="I7">
        <v>11.5</v>
      </c>
      <c r="J7">
        <v>0</v>
      </c>
      <c r="K7">
        <v>11.59</v>
      </c>
    </row>
    <row r="8" spans="1:15" x14ac:dyDescent="0.35">
      <c r="A8">
        <v>1</v>
      </c>
      <c r="B8">
        <v>11.59</v>
      </c>
      <c r="C8">
        <v>2</v>
      </c>
      <c r="D8">
        <v>11.676</v>
      </c>
      <c r="H8">
        <v>1</v>
      </c>
      <c r="I8">
        <v>11.59</v>
      </c>
      <c r="J8">
        <v>2</v>
      </c>
      <c r="K8">
        <v>11.676</v>
      </c>
    </row>
    <row r="9" spans="1:15" x14ac:dyDescent="0.35">
      <c r="A9">
        <v>1</v>
      </c>
      <c r="B9">
        <v>13.06</v>
      </c>
      <c r="C9">
        <v>2</v>
      </c>
      <c r="D9">
        <v>13.14</v>
      </c>
      <c r="H9">
        <v>1</v>
      </c>
      <c r="I9">
        <v>13.06</v>
      </c>
      <c r="J9">
        <v>2</v>
      </c>
      <c r="K9">
        <v>13.14</v>
      </c>
    </row>
    <row r="10" spans="1:15" x14ac:dyDescent="0.35">
      <c r="A10">
        <v>1</v>
      </c>
      <c r="B10">
        <v>13.14</v>
      </c>
      <c r="C10">
        <v>0</v>
      </c>
      <c r="D10">
        <v>13.22</v>
      </c>
      <c r="H10">
        <v>1</v>
      </c>
      <c r="I10">
        <v>13.14</v>
      </c>
      <c r="J10">
        <v>0</v>
      </c>
      <c r="K10">
        <v>13.22</v>
      </c>
    </row>
    <row r="11" spans="1:15" x14ac:dyDescent="0.35">
      <c r="A11">
        <v>1</v>
      </c>
      <c r="B11">
        <v>19.422999999999998</v>
      </c>
      <c r="C11">
        <v>0</v>
      </c>
      <c r="D11">
        <v>19.507000000000001</v>
      </c>
      <c r="H11">
        <v>1</v>
      </c>
      <c r="I11">
        <v>19.422999999999998</v>
      </c>
      <c r="J11">
        <v>0</v>
      </c>
      <c r="K11">
        <v>19.507000000000001</v>
      </c>
    </row>
    <row r="12" spans="1:15" x14ac:dyDescent="0.35">
      <c r="A12">
        <v>1</v>
      </c>
      <c r="B12">
        <v>26.43</v>
      </c>
      <c r="C12">
        <v>10</v>
      </c>
      <c r="D12" s="1">
        <v>26.49</v>
      </c>
      <c r="H12">
        <v>1</v>
      </c>
      <c r="I12">
        <v>26.43</v>
      </c>
      <c r="J12">
        <v>10</v>
      </c>
      <c r="K12" s="1">
        <v>26.49</v>
      </c>
    </row>
    <row r="13" spans="1:15" x14ac:dyDescent="0.35">
      <c r="A13">
        <v>1</v>
      </c>
      <c r="B13">
        <v>30.05</v>
      </c>
      <c r="C13">
        <v>14</v>
      </c>
      <c r="D13">
        <v>30.2</v>
      </c>
      <c r="E13" t="s">
        <v>28</v>
      </c>
      <c r="H13">
        <v>1</v>
      </c>
      <c r="I13">
        <v>30.05</v>
      </c>
      <c r="J13">
        <v>14</v>
      </c>
      <c r="K13">
        <v>30.2</v>
      </c>
      <c r="L13">
        <f>100/3.6</f>
        <v>27.777777777777779</v>
      </c>
    </row>
    <row r="14" spans="1:15" x14ac:dyDescent="0.35">
      <c r="A14">
        <v>1</v>
      </c>
      <c r="B14">
        <v>30.22</v>
      </c>
      <c r="C14">
        <v>13</v>
      </c>
      <c r="D14" s="1">
        <v>30.332000000000001</v>
      </c>
      <c r="E14" t="s">
        <v>28</v>
      </c>
      <c r="H14">
        <v>1</v>
      </c>
      <c r="I14">
        <v>30.22</v>
      </c>
      <c r="J14">
        <v>13</v>
      </c>
      <c r="K14" s="1">
        <v>30.332000000000001</v>
      </c>
      <c r="L14">
        <f>100/3.6</f>
        <v>27.777777777777779</v>
      </c>
      <c r="O14">
        <f>100/3.6</f>
        <v>27.777777777777779</v>
      </c>
    </row>
    <row r="15" spans="1:15" x14ac:dyDescent="0.35">
      <c r="A15">
        <v>1</v>
      </c>
      <c r="B15">
        <v>32.713999999999999</v>
      </c>
      <c r="C15">
        <v>0</v>
      </c>
      <c r="D15">
        <v>32.764000000000003</v>
      </c>
      <c r="H15">
        <v>1</v>
      </c>
      <c r="I15">
        <v>32.713999999999999</v>
      </c>
      <c r="J15">
        <v>0</v>
      </c>
      <c r="K15">
        <v>32.764000000000003</v>
      </c>
    </row>
    <row r="16" spans="1:15" x14ac:dyDescent="0.35">
      <c r="A16">
        <v>1</v>
      </c>
      <c r="B16">
        <v>33.79</v>
      </c>
      <c r="C16">
        <v>0</v>
      </c>
      <c r="D16" s="1">
        <v>33.814999999999998</v>
      </c>
      <c r="H16">
        <v>1</v>
      </c>
      <c r="I16">
        <v>33.79</v>
      </c>
      <c r="J16">
        <v>0</v>
      </c>
      <c r="K16" s="1">
        <v>33.814999999999998</v>
      </c>
    </row>
    <row r="17" spans="1:12" x14ac:dyDescent="0.35">
      <c r="A17">
        <v>2</v>
      </c>
      <c r="B17">
        <v>11.42</v>
      </c>
      <c r="C17">
        <v>1</v>
      </c>
      <c r="D17">
        <v>11.5</v>
      </c>
      <c r="H17">
        <v>2</v>
      </c>
      <c r="I17">
        <v>11.42</v>
      </c>
      <c r="J17">
        <v>1</v>
      </c>
      <c r="K17">
        <v>11.5</v>
      </c>
    </row>
    <row r="18" spans="1:12" x14ac:dyDescent="0.35">
      <c r="A18">
        <v>2</v>
      </c>
      <c r="B18">
        <v>11.676</v>
      </c>
      <c r="C18">
        <v>4</v>
      </c>
      <c r="D18">
        <v>11.846</v>
      </c>
      <c r="H18">
        <v>2</v>
      </c>
      <c r="I18">
        <v>11.676</v>
      </c>
      <c r="J18">
        <v>4</v>
      </c>
      <c r="K18">
        <v>11.846</v>
      </c>
    </row>
    <row r="19" spans="1:12" x14ac:dyDescent="0.35">
      <c r="A19">
        <v>2</v>
      </c>
      <c r="B19">
        <v>12.749000000000001</v>
      </c>
      <c r="C19">
        <v>0</v>
      </c>
      <c r="D19">
        <v>12.92</v>
      </c>
      <c r="H19">
        <v>2</v>
      </c>
      <c r="I19">
        <v>12.749000000000001</v>
      </c>
      <c r="J19">
        <v>0</v>
      </c>
      <c r="K19">
        <v>12.92</v>
      </c>
    </row>
    <row r="20" spans="1:12" x14ac:dyDescent="0.35">
      <c r="A20">
        <v>2</v>
      </c>
      <c r="B20">
        <v>13.14</v>
      </c>
      <c r="C20">
        <v>4</v>
      </c>
      <c r="D20">
        <v>13.22</v>
      </c>
      <c r="H20">
        <v>2</v>
      </c>
      <c r="I20">
        <v>13.14</v>
      </c>
      <c r="J20">
        <v>4</v>
      </c>
      <c r="K20">
        <v>13.22</v>
      </c>
    </row>
    <row r="21" spans="1:12" x14ac:dyDescent="0.35">
      <c r="A21">
        <v>2</v>
      </c>
      <c r="B21">
        <v>19.05</v>
      </c>
      <c r="C21">
        <v>1</v>
      </c>
      <c r="D21">
        <v>19.183</v>
      </c>
      <c r="H21">
        <v>2</v>
      </c>
      <c r="I21">
        <v>19.05</v>
      </c>
      <c r="J21">
        <v>1</v>
      </c>
      <c r="K21">
        <v>19.183</v>
      </c>
    </row>
    <row r="22" spans="1:12" x14ac:dyDescent="0.35">
      <c r="A22">
        <v>2</v>
      </c>
      <c r="B22">
        <v>27.43</v>
      </c>
      <c r="C22">
        <v>11</v>
      </c>
      <c r="D22" s="1">
        <v>27.62</v>
      </c>
      <c r="E22" t="s">
        <v>28</v>
      </c>
      <c r="H22">
        <v>2</v>
      </c>
      <c r="I22">
        <v>27.43</v>
      </c>
      <c r="J22">
        <v>11</v>
      </c>
      <c r="K22" s="1">
        <v>27.62</v>
      </c>
      <c r="L22">
        <f>100/3.6</f>
        <v>27.777777777777779</v>
      </c>
    </row>
    <row r="23" spans="1:12" x14ac:dyDescent="0.35">
      <c r="A23">
        <v>2</v>
      </c>
      <c r="B23">
        <v>66.55</v>
      </c>
      <c r="C23">
        <v>4</v>
      </c>
      <c r="D23">
        <v>66.75</v>
      </c>
      <c r="E23" t="s">
        <v>25</v>
      </c>
      <c r="H23">
        <v>2</v>
      </c>
      <c r="I23">
        <v>66.55</v>
      </c>
      <c r="J23">
        <v>4</v>
      </c>
      <c r="K23">
        <v>66.75</v>
      </c>
      <c r="L23">
        <f>160/3.6</f>
        <v>44.444444444444443</v>
      </c>
    </row>
    <row r="24" spans="1:12" x14ac:dyDescent="0.35">
      <c r="A24">
        <v>2</v>
      </c>
      <c r="B24">
        <v>78</v>
      </c>
      <c r="C24">
        <v>14</v>
      </c>
      <c r="D24">
        <v>78.391999999999996</v>
      </c>
      <c r="H24">
        <v>2</v>
      </c>
      <c r="I24">
        <v>78</v>
      </c>
      <c r="J24">
        <v>14</v>
      </c>
      <c r="K24">
        <v>78.391999999999996</v>
      </c>
    </row>
    <row r="25" spans="1:12" x14ac:dyDescent="0.35">
      <c r="A25">
        <v>4</v>
      </c>
      <c r="B25">
        <v>11.14</v>
      </c>
      <c r="C25">
        <v>2</v>
      </c>
      <c r="D25">
        <v>11.24</v>
      </c>
      <c r="H25">
        <v>4</v>
      </c>
      <c r="I25">
        <v>11.14</v>
      </c>
      <c r="J25">
        <v>2</v>
      </c>
      <c r="K25">
        <v>11.24</v>
      </c>
    </row>
    <row r="26" spans="1:12" x14ac:dyDescent="0.35">
      <c r="A26">
        <v>4</v>
      </c>
      <c r="B26">
        <v>11.34</v>
      </c>
      <c r="C26">
        <v>2</v>
      </c>
      <c r="D26">
        <v>11.42</v>
      </c>
      <c r="H26">
        <v>4</v>
      </c>
      <c r="I26">
        <v>11.34</v>
      </c>
      <c r="J26">
        <v>2</v>
      </c>
      <c r="K26">
        <v>11.42</v>
      </c>
    </row>
    <row r="27" spans="1:12" x14ac:dyDescent="0.35">
      <c r="A27">
        <v>4</v>
      </c>
      <c r="B27">
        <v>12.8</v>
      </c>
      <c r="C27">
        <v>1</v>
      </c>
      <c r="D27">
        <v>12.98</v>
      </c>
      <c r="H27">
        <v>4</v>
      </c>
      <c r="I27">
        <v>12.8</v>
      </c>
      <c r="J27">
        <v>1</v>
      </c>
      <c r="K27">
        <v>12.98</v>
      </c>
    </row>
    <row r="28" spans="1:12" x14ac:dyDescent="0.35">
      <c r="A28">
        <v>4</v>
      </c>
      <c r="B28">
        <v>12.98</v>
      </c>
      <c r="C28">
        <v>2</v>
      </c>
      <c r="D28">
        <v>13.06</v>
      </c>
      <c r="H28">
        <v>4</v>
      </c>
      <c r="I28">
        <v>12.98</v>
      </c>
      <c r="J28">
        <v>2</v>
      </c>
      <c r="K28">
        <v>13.06</v>
      </c>
    </row>
    <row r="29" spans="1:12" x14ac:dyDescent="0.35">
      <c r="A29">
        <v>4</v>
      </c>
      <c r="B29">
        <v>18.96</v>
      </c>
      <c r="C29">
        <v>2</v>
      </c>
      <c r="D29">
        <v>19.05</v>
      </c>
      <c r="H29">
        <v>4</v>
      </c>
      <c r="I29">
        <v>18.96</v>
      </c>
      <c r="J29">
        <v>2</v>
      </c>
      <c r="K29">
        <v>19.05</v>
      </c>
    </row>
    <row r="30" spans="1:12" x14ac:dyDescent="0.35">
      <c r="A30">
        <v>4</v>
      </c>
      <c r="B30">
        <v>27.43</v>
      </c>
      <c r="C30">
        <v>12</v>
      </c>
      <c r="D30" s="1">
        <v>27.62</v>
      </c>
      <c r="E30" t="s">
        <v>28</v>
      </c>
      <c r="H30">
        <v>4</v>
      </c>
      <c r="I30">
        <v>27.43</v>
      </c>
      <c r="J30">
        <v>12</v>
      </c>
      <c r="K30" s="1">
        <v>27.62</v>
      </c>
      <c r="L30">
        <f>100/3.6</f>
        <v>27.777777777777779</v>
      </c>
    </row>
    <row r="31" spans="1:12" x14ac:dyDescent="0.35">
      <c r="A31">
        <v>4</v>
      </c>
      <c r="B31">
        <v>65.694999999999993</v>
      </c>
      <c r="C31">
        <v>2</v>
      </c>
      <c r="D31">
        <v>65.894999999999996</v>
      </c>
      <c r="E31" t="s">
        <v>25</v>
      </c>
      <c r="H31">
        <v>4</v>
      </c>
      <c r="I31">
        <v>65.694999999999993</v>
      </c>
      <c r="J31">
        <v>2</v>
      </c>
      <c r="K31">
        <v>65.894999999999996</v>
      </c>
      <c r="L31">
        <f>160/3.6</f>
        <v>44.444444444444443</v>
      </c>
    </row>
    <row r="32" spans="1:12" x14ac:dyDescent="0.35">
      <c r="A32">
        <v>4</v>
      </c>
      <c r="B32">
        <v>78.414000000000001</v>
      </c>
      <c r="C32">
        <v>14</v>
      </c>
      <c r="D32">
        <v>78.489000000000004</v>
      </c>
      <c r="H32">
        <v>4</v>
      </c>
      <c r="I32">
        <v>78.414000000000001</v>
      </c>
      <c r="J32">
        <v>14</v>
      </c>
      <c r="K32">
        <v>78.489000000000004</v>
      </c>
    </row>
    <row r="33" spans="1:12" x14ac:dyDescent="0.35">
      <c r="A33">
        <v>5</v>
      </c>
      <c r="B33">
        <v>10.987</v>
      </c>
      <c r="C33">
        <v>4</v>
      </c>
      <c r="D33">
        <v>11.14</v>
      </c>
      <c r="H33">
        <v>5</v>
      </c>
      <c r="I33">
        <v>10.987</v>
      </c>
      <c r="J33">
        <v>4</v>
      </c>
      <c r="K33">
        <v>11.14</v>
      </c>
    </row>
    <row r="34" spans="1:12" x14ac:dyDescent="0.35">
      <c r="A34">
        <v>6</v>
      </c>
      <c r="B34">
        <v>11.14</v>
      </c>
      <c r="C34">
        <v>4</v>
      </c>
      <c r="D34">
        <v>11.34</v>
      </c>
      <c r="H34">
        <v>6</v>
      </c>
      <c r="I34">
        <v>11.14</v>
      </c>
      <c r="J34">
        <v>4</v>
      </c>
      <c r="K34">
        <v>11.34</v>
      </c>
    </row>
    <row r="35" spans="1:12" x14ac:dyDescent="0.35">
      <c r="A35">
        <v>7</v>
      </c>
      <c r="B35">
        <v>17.655000000000001</v>
      </c>
      <c r="C35">
        <v>9</v>
      </c>
      <c r="D35">
        <v>17.805499999999999</v>
      </c>
      <c r="H35">
        <v>7</v>
      </c>
      <c r="I35">
        <v>17.655000000000001</v>
      </c>
      <c r="J35">
        <v>9</v>
      </c>
      <c r="K35">
        <v>17.805499999999999</v>
      </c>
    </row>
    <row r="36" spans="1:12" x14ac:dyDescent="0.35">
      <c r="A36">
        <v>7</v>
      </c>
      <c r="B36">
        <v>18.855</v>
      </c>
      <c r="C36">
        <v>4</v>
      </c>
      <c r="D36">
        <v>18.96</v>
      </c>
      <c r="H36">
        <v>7</v>
      </c>
      <c r="I36">
        <v>18.855</v>
      </c>
      <c r="J36">
        <v>4</v>
      </c>
      <c r="K36">
        <v>18.96</v>
      </c>
    </row>
    <row r="37" spans="1:12" x14ac:dyDescent="0.35">
      <c r="A37">
        <v>8</v>
      </c>
      <c r="B37">
        <v>18.643999999999998</v>
      </c>
      <c r="C37">
        <v>9</v>
      </c>
      <c r="D37">
        <v>18.71</v>
      </c>
      <c r="H37">
        <v>8</v>
      </c>
      <c r="I37">
        <v>18.643999999999998</v>
      </c>
      <c r="J37">
        <v>9</v>
      </c>
      <c r="K37">
        <v>18.71</v>
      </c>
    </row>
    <row r="38" spans="1:12" x14ac:dyDescent="0.35">
      <c r="A38">
        <v>9</v>
      </c>
      <c r="B38">
        <v>17.805499999999999</v>
      </c>
      <c r="C38">
        <v>8</v>
      </c>
      <c r="D38">
        <v>17.876999999999999</v>
      </c>
      <c r="H38">
        <v>9</v>
      </c>
      <c r="I38">
        <v>17.805499999999999</v>
      </c>
      <c r="J38">
        <v>8</v>
      </c>
      <c r="K38">
        <v>17.876999999999999</v>
      </c>
    </row>
    <row r="39" spans="1:12" x14ac:dyDescent="0.35">
      <c r="A39">
        <v>9</v>
      </c>
      <c r="B39">
        <v>18.71</v>
      </c>
      <c r="C39">
        <v>7</v>
      </c>
      <c r="D39">
        <v>18.855</v>
      </c>
      <c r="H39">
        <v>9</v>
      </c>
      <c r="I39">
        <v>18.71</v>
      </c>
      <c r="J39">
        <v>7</v>
      </c>
      <c r="K39">
        <v>18.855</v>
      </c>
    </row>
    <row r="40" spans="1:12" x14ac:dyDescent="0.35">
      <c r="A40">
        <v>10</v>
      </c>
      <c r="B40">
        <v>27.155000000000001</v>
      </c>
      <c r="C40">
        <v>1</v>
      </c>
      <c r="D40" s="1">
        <v>27.206</v>
      </c>
      <c r="H40">
        <v>10</v>
      </c>
      <c r="I40">
        <v>27.155000000000001</v>
      </c>
      <c r="J40">
        <v>1</v>
      </c>
      <c r="K40" s="1">
        <v>27.206</v>
      </c>
    </row>
    <row r="41" spans="1:12" x14ac:dyDescent="0.35">
      <c r="A41">
        <v>11</v>
      </c>
      <c r="B41">
        <v>28.79</v>
      </c>
      <c r="C41">
        <v>15</v>
      </c>
      <c r="D41" s="1">
        <v>28.9</v>
      </c>
      <c r="E41" t="s">
        <v>28</v>
      </c>
      <c r="H41">
        <v>11</v>
      </c>
      <c r="I41">
        <v>28.79</v>
      </c>
      <c r="J41">
        <v>15</v>
      </c>
      <c r="K41" s="1">
        <v>28.9</v>
      </c>
      <c r="L41">
        <f>100/3.6</f>
        <v>27.777777777777779</v>
      </c>
    </row>
    <row r="42" spans="1:12" x14ac:dyDescent="0.35">
      <c r="A42">
        <v>11</v>
      </c>
      <c r="B42">
        <v>29.5</v>
      </c>
      <c r="C42">
        <v>1</v>
      </c>
      <c r="D42" s="1">
        <v>30.04</v>
      </c>
      <c r="E42" t="s">
        <v>28</v>
      </c>
      <c r="H42">
        <v>11</v>
      </c>
      <c r="I42">
        <v>29.5</v>
      </c>
      <c r="J42">
        <v>1</v>
      </c>
      <c r="K42" s="1">
        <v>30.04</v>
      </c>
      <c r="L42">
        <f>100/3.6</f>
        <v>27.777777777777779</v>
      </c>
    </row>
    <row r="43" spans="1:12" x14ac:dyDescent="0.35">
      <c r="A43">
        <v>11</v>
      </c>
      <c r="B43">
        <v>32.344999999999999</v>
      </c>
      <c r="C43">
        <v>14</v>
      </c>
      <c r="D43" s="1">
        <v>32.423000000000002</v>
      </c>
      <c r="H43">
        <v>11</v>
      </c>
      <c r="I43">
        <v>32.344999999999999</v>
      </c>
      <c r="J43">
        <v>14</v>
      </c>
      <c r="K43" s="1">
        <v>32.423000000000002</v>
      </c>
    </row>
    <row r="44" spans="1:12" x14ac:dyDescent="0.35">
      <c r="A44">
        <v>11</v>
      </c>
      <c r="B44">
        <v>32.479999999999997</v>
      </c>
      <c r="C44">
        <v>12</v>
      </c>
      <c r="D44" s="1">
        <v>32.56</v>
      </c>
      <c r="H44">
        <v>11</v>
      </c>
      <c r="I44">
        <v>32.479999999999997</v>
      </c>
      <c r="J44">
        <v>12</v>
      </c>
      <c r="K44" s="1">
        <v>32.56</v>
      </c>
    </row>
    <row r="45" spans="1:12" x14ac:dyDescent="0.35">
      <c r="A45">
        <v>11</v>
      </c>
      <c r="B45">
        <v>33.322000000000003</v>
      </c>
      <c r="C45">
        <v>13</v>
      </c>
      <c r="D45" s="1">
        <v>33.479999999999997</v>
      </c>
      <c r="H45">
        <v>11</v>
      </c>
      <c r="I45">
        <v>33.322000000000003</v>
      </c>
      <c r="J45">
        <v>13</v>
      </c>
      <c r="K45" s="1">
        <v>33.479999999999997</v>
      </c>
    </row>
    <row r="46" spans="1:12" x14ac:dyDescent="0.35">
      <c r="A46">
        <v>12</v>
      </c>
      <c r="B46">
        <v>29.323</v>
      </c>
      <c r="C46">
        <v>11</v>
      </c>
      <c r="D46" s="1">
        <v>29.47</v>
      </c>
      <c r="E46" t="s">
        <v>28</v>
      </c>
      <c r="H46">
        <v>12</v>
      </c>
      <c r="I46">
        <v>29.323</v>
      </c>
      <c r="J46">
        <v>11</v>
      </c>
      <c r="K46" s="1">
        <v>29.47</v>
      </c>
      <c r="L46">
        <f>100/3.6</f>
        <v>27.777777777777779</v>
      </c>
    </row>
    <row r="47" spans="1:12" x14ac:dyDescent="0.35">
      <c r="A47">
        <v>12</v>
      </c>
      <c r="B47">
        <v>32.69</v>
      </c>
      <c r="C47">
        <v>16</v>
      </c>
      <c r="D47" s="1">
        <v>32.72</v>
      </c>
      <c r="H47">
        <v>12</v>
      </c>
      <c r="I47">
        <v>32.69</v>
      </c>
      <c r="J47">
        <v>16</v>
      </c>
      <c r="K47" s="1">
        <v>32.72</v>
      </c>
    </row>
    <row r="48" spans="1:12" x14ac:dyDescent="0.35">
      <c r="A48">
        <v>12</v>
      </c>
      <c r="B48">
        <v>33.479999999999997</v>
      </c>
      <c r="C48">
        <v>14</v>
      </c>
      <c r="D48" s="1">
        <v>33.56</v>
      </c>
      <c r="H48">
        <v>12</v>
      </c>
      <c r="I48">
        <v>33.479999999999997</v>
      </c>
      <c r="J48">
        <v>14</v>
      </c>
      <c r="K48" s="1">
        <v>33.56</v>
      </c>
    </row>
    <row r="49" spans="1:11" x14ac:dyDescent="0.35">
      <c r="A49">
        <v>13</v>
      </c>
      <c r="B49">
        <v>32.423000000000002</v>
      </c>
      <c r="C49">
        <v>25</v>
      </c>
      <c r="D49" s="1">
        <v>32.56</v>
      </c>
      <c r="H49">
        <v>13</v>
      </c>
      <c r="I49">
        <v>32.423000000000002</v>
      </c>
      <c r="J49">
        <v>25</v>
      </c>
      <c r="K49" s="1">
        <v>32.56</v>
      </c>
    </row>
    <row r="50" spans="1:11" x14ac:dyDescent="0.35">
      <c r="A50">
        <v>13</v>
      </c>
      <c r="B50">
        <v>32.69</v>
      </c>
      <c r="C50">
        <v>26</v>
      </c>
      <c r="D50" s="1">
        <v>32.72</v>
      </c>
      <c r="H50">
        <v>13</v>
      </c>
      <c r="I50">
        <v>32.69</v>
      </c>
      <c r="J50">
        <v>26</v>
      </c>
      <c r="K50" s="1">
        <v>32.72</v>
      </c>
    </row>
    <row r="51" spans="1:11" x14ac:dyDescent="0.35">
      <c r="A51">
        <v>13</v>
      </c>
      <c r="B51">
        <v>32.72</v>
      </c>
      <c r="C51">
        <v>14</v>
      </c>
      <c r="D51" s="1">
        <v>32.799999999999997</v>
      </c>
      <c r="H51">
        <v>13</v>
      </c>
      <c r="I51">
        <v>32.72</v>
      </c>
      <c r="J51">
        <v>14</v>
      </c>
      <c r="K51" s="1">
        <v>32.799999999999997</v>
      </c>
    </row>
    <row r="52" spans="1:11" x14ac:dyDescent="0.35">
      <c r="A52">
        <v>13</v>
      </c>
      <c r="B52">
        <v>33.57</v>
      </c>
      <c r="C52">
        <v>14</v>
      </c>
      <c r="D52" s="1">
        <v>33.619999999999997</v>
      </c>
      <c r="H52">
        <v>13</v>
      </c>
      <c r="I52">
        <v>33.57</v>
      </c>
      <c r="J52">
        <v>14</v>
      </c>
      <c r="K52" s="1">
        <v>33.619999999999997</v>
      </c>
    </row>
    <row r="53" spans="1:11" x14ac:dyDescent="0.35">
      <c r="A53">
        <v>13</v>
      </c>
      <c r="B53">
        <v>44.831000000000003</v>
      </c>
      <c r="C53">
        <v>14</v>
      </c>
      <c r="D53" s="1">
        <v>44.91</v>
      </c>
      <c r="H53">
        <v>13</v>
      </c>
      <c r="I53">
        <v>44.831000000000003</v>
      </c>
      <c r="J53">
        <v>14</v>
      </c>
      <c r="K53" s="1">
        <v>44.91</v>
      </c>
    </row>
    <row r="54" spans="1:11" x14ac:dyDescent="0.35">
      <c r="A54">
        <v>13</v>
      </c>
      <c r="B54">
        <v>45.27</v>
      </c>
      <c r="C54">
        <v>19</v>
      </c>
      <c r="D54" s="1">
        <v>45.36</v>
      </c>
      <c r="H54">
        <v>13</v>
      </c>
      <c r="I54">
        <v>45.27</v>
      </c>
      <c r="J54">
        <v>19</v>
      </c>
      <c r="K54" s="1">
        <v>45.36</v>
      </c>
    </row>
    <row r="55" spans="1:11" x14ac:dyDescent="0.35">
      <c r="A55">
        <v>13</v>
      </c>
      <c r="B55">
        <v>46.28</v>
      </c>
      <c r="C55">
        <v>14</v>
      </c>
      <c r="D55" s="1">
        <v>46.36</v>
      </c>
      <c r="H55">
        <v>13</v>
      </c>
      <c r="I55">
        <v>46.28</v>
      </c>
      <c r="J55">
        <v>14</v>
      </c>
      <c r="K55" s="1">
        <v>46.36</v>
      </c>
    </row>
    <row r="56" spans="1:11" x14ac:dyDescent="0.35">
      <c r="A56">
        <v>13</v>
      </c>
      <c r="B56">
        <v>65.488</v>
      </c>
      <c r="C56">
        <v>14</v>
      </c>
      <c r="D56" s="1">
        <v>65.545000000000002</v>
      </c>
      <c r="H56">
        <v>13</v>
      </c>
      <c r="I56">
        <v>65.488</v>
      </c>
      <c r="J56">
        <v>14</v>
      </c>
      <c r="K56" s="1">
        <v>65.545000000000002</v>
      </c>
    </row>
    <row r="57" spans="1:11" x14ac:dyDescent="0.35">
      <c r="A57">
        <v>13</v>
      </c>
      <c r="B57">
        <v>65.545000000000002</v>
      </c>
      <c r="C57">
        <v>27</v>
      </c>
      <c r="D57">
        <v>65.614999999999995</v>
      </c>
      <c r="H57">
        <v>13</v>
      </c>
      <c r="I57">
        <v>65.545000000000002</v>
      </c>
      <c r="J57">
        <v>27</v>
      </c>
      <c r="K57">
        <v>65.614999999999995</v>
      </c>
    </row>
    <row r="58" spans="1:11" x14ac:dyDescent="0.35">
      <c r="A58">
        <v>13</v>
      </c>
      <c r="B58">
        <v>66.305000000000007</v>
      </c>
      <c r="C58">
        <v>14</v>
      </c>
      <c r="D58" s="1">
        <v>66.41</v>
      </c>
      <c r="H58">
        <v>13</v>
      </c>
      <c r="I58">
        <v>66.305000000000007</v>
      </c>
      <c r="J58">
        <v>14</v>
      </c>
      <c r="K58" s="1">
        <v>66.41</v>
      </c>
    </row>
    <row r="59" spans="1:11" x14ac:dyDescent="0.35">
      <c r="A59">
        <v>13</v>
      </c>
      <c r="B59">
        <v>70.765000000000001</v>
      </c>
      <c r="C59">
        <v>36</v>
      </c>
      <c r="D59">
        <v>70.828999999999994</v>
      </c>
      <c r="H59">
        <v>13</v>
      </c>
      <c r="I59">
        <v>70.765000000000001</v>
      </c>
      <c r="J59">
        <v>36</v>
      </c>
      <c r="K59">
        <v>70.828999999999994</v>
      </c>
    </row>
    <row r="60" spans="1:11" x14ac:dyDescent="0.35">
      <c r="A60">
        <v>13</v>
      </c>
      <c r="B60">
        <v>71.52</v>
      </c>
      <c r="C60">
        <v>14</v>
      </c>
      <c r="D60">
        <v>71.600999999999999</v>
      </c>
      <c r="H60">
        <v>13</v>
      </c>
      <c r="I60">
        <v>71.52</v>
      </c>
      <c r="J60">
        <v>14</v>
      </c>
      <c r="K60">
        <v>71.600999999999999</v>
      </c>
    </row>
    <row r="61" spans="1:11" x14ac:dyDescent="0.35">
      <c r="A61">
        <v>14</v>
      </c>
      <c r="B61">
        <v>32.344999999999999</v>
      </c>
      <c r="C61">
        <v>13</v>
      </c>
      <c r="D61">
        <v>32.423000000000002</v>
      </c>
      <c r="H61">
        <v>14</v>
      </c>
      <c r="I61">
        <v>32.344999999999999</v>
      </c>
      <c r="J61">
        <v>13</v>
      </c>
      <c r="K61">
        <v>32.423000000000002</v>
      </c>
    </row>
    <row r="62" spans="1:11" x14ac:dyDescent="0.35">
      <c r="A62">
        <v>14</v>
      </c>
      <c r="B62">
        <v>32.479999999999997</v>
      </c>
      <c r="C62">
        <v>13</v>
      </c>
      <c r="D62">
        <v>32.56</v>
      </c>
      <c r="H62">
        <v>14</v>
      </c>
      <c r="I62">
        <v>32.479999999999997</v>
      </c>
      <c r="J62">
        <v>13</v>
      </c>
      <c r="K62">
        <v>32.56</v>
      </c>
    </row>
    <row r="63" spans="1:11" x14ac:dyDescent="0.35">
      <c r="A63">
        <v>14</v>
      </c>
      <c r="B63">
        <v>33.65</v>
      </c>
      <c r="C63">
        <v>16</v>
      </c>
      <c r="D63" s="1">
        <v>33.700000000000003</v>
      </c>
      <c r="H63">
        <v>14</v>
      </c>
      <c r="I63">
        <v>33.65</v>
      </c>
      <c r="J63">
        <v>16</v>
      </c>
      <c r="K63" s="1">
        <v>33.700000000000003</v>
      </c>
    </row>
    <row r="64" spans="1:11" x14ac:dyDescent="0.35">
      <c r="A64">
        <v>14</v>
      </c>
      <c r="B64">
        <v>33.72</v>
      </c>
      <c r="C64">
        <v>13</v>
      </c>
      <c r="D64" s="1">
        <v>33.799999999999997</v>
      </c>
      <c r="H64">
        <v>14</v>
      </c>
      <c r="I64">
        <v>33.72</v>
      </c>
      <c r="J64">
        <v>13</v>
      </c>
      <c r="K64" s="1">
        <v>33.799999999999997</v>
      </c>
    </row>
    <row r="65" spans="1:12" x14ac:dyDescent="0.35">
      <c r="A65">
        <v>14</v>
      </c>
      <c r="B65">
        <v>44.91</v>
      </c>
      <c r="C65">
        <v>20</v>
      </c>
      <c r="D65">
        <v>44.96</v>
      </c>
      <c r="H65">
        <v>14</v>
      </c>
      <c r="I65">
        <v>44.91</v>
      </c>
      <c r="J65">
        <v>20</v>
      </c>
      <c r="K65">
        <v>44.96</v>
      </c>
    </row>
    <row r="66" spans="1:12" x14ac:dyDescent="0.35">
      <c r="A66">
        <v>14</v>
      </c>
      <c r="B66">
        <v>44.96</v>
      </c>
      <c r="C66">
        <v>13</v>
      </c>
      <c r="D66" s="1">
        <v>45.04</v>
      </c>
      <c r="H66">
        <v>14</v>
      </c>
      <c r="I66">
        <v>44.96</v>
      </c>
      <c r="J66">
        <v>13</v>
      </c>
      <c r="K66" s="1">
        <v>45.04</v>
      </c>
    </row>
    <row r="67" spans="1:12" x14ac:dyDescent="0.35">
      <c r="A67">
        <v>14</v>
      </c>
      <c r="B67">
        <v>45.95</v>
      </c>
      <c r="C67">
        <v>21</v>
      </c>
      <c r="D67">
        <v>46.052</v>
      </c>
      <c r="H67">
        <v>14</v>
      </c>
      <c r="I67">
        <v>45.95</v>
      </c>
      <c r="J67">
        <v>21</v>
      </c>
      <c r="K67">
        <v>46.052</v>
      </c>
    </row>
    <row r="68" spans="1:12" x14ac:dyDescent="0.35">
      <c r="A68">
        <v>14</v>
      </c>
      <c r="B68">
        <v>46.097000000000001</v>
      </c>
      <c r="C68">
        <v>22</v>
      </c>
      <c r="D68">
        <v>46.218000000000004</v>
      </c>
      <c r="H68">
        <v>14</v>
      </c>
      <c r="I68">
        <v>46.097000000000001</v>
      </c>
      <c r="J68">
        <v>22</v>
      </c>
      <c r="K68">
        <v>46.218000000000004</v>
      </c>
    </row>
    <row r="69" spans="1:12" x14ac:dyDescent="0.35">
      <c r="A69">
        <v>14</v>
      </c>
      <c r="B69">
        <v>46.36</v>
      </c>
      <c r="C69">
        <v>13</v>
      </c>
      <c r="D69" s="1">
        <v>46.444000000000003</v>
      </c>
      <c r="H69">
        <v>14</v>
      </c>
      <c r="I69">
        <v>46.36</v>
      </c>
      <c r="J69">
        <v>13</v>
      </c>
      <c r="K69" s="1">
        <v>46.444000000000003</v>
      </c>
    </row>
    <row r="70" spans="1:12" x14ac:dyDescent="0.35">
      <c r="A70">
        <v>14</v>
      </c>
      <c r="B70">
        <v>65.316999999999993</v>
      </c>
      <c r="C70">
        <v>13</v>
      </c>
      <c r="D70" s="1">
        <v>65.394999999999996</v>
      </c>
      <c r="H70">
        <v>14</v>
      </c>
      <c r="I70">
        <v>65.316999999999993</v>
      </c>
      <c r="J70">
        <v>13</v>
      </c>
      <c r="K70" s="1">
        <v>65.394999999999996</v>
      </c>
    </row>
    <row r="71" spans="1:12" x14ac:dyDescent="0.35">
      <c r="A71">
        <v>14</v>
      </c>
      <c r="B71">
        <v>65.545000000000002</v>
      </c>
      <c r="C71">
        <v>28</v>
      </c>
      <c r="D71">
        <v>65.614999999999995</v>
      </c>
      <c r="H71">
        <v>14</v>
      </c>
      <c r="I71">
        <v>65.545000000000002</v>
      </c>
      <c r="J71">
        <v>28</v>
      </c>
      <c r="K71">
        <v>65.614999999999995</v>
      </c>
    </row>
    <row r="72" spans="1:12" x14ac:dyDescent="0.35">
      <c r="A72">
        <v>14</v>
      </c>
      <c r="B72">
        <v>66.465000000000003</v>
      </c>
      <c r="C72">
        <v>13</v>
      </c>
      <c r="D72">
        <v>66.545000000000002</v>
      </c>
      <c r="H72">
        <v>14</v>
      </c>
      <c r="I72">
        <v>66.465000000000003</v>
      </c>
      <c r="J72">
        <v>13</v>
      </c>
      <c r="K72">
        <v>66.545000000000002</v>
      </c>
    </row>
    <row r="73" spans="1:12" x14ac:dyDescent="0.35">
      <c r="A73">
        <v>14</v>
      </c>
      <c r="B73">
        <v>71.751000000000005</v>
      </c>
      <c r="C73">
        <v>37</v>
      </c>
      <c r="D73">
        <v>71.823999999999998</v>
      </c>
      <c r="H73">
        <v>14</v>
      </c>
      <c r="I73">
        <v>71.751000000000005</v>
      </c>
      <c r="J73">
        <v>37</v>
      </c>
      <c r="K73">
        <v>71.823999999999998</v>
      </c>
    </row>
    <row r="74" spans="1:12" x14ac:dyDescent="0.35">
      <c r="A74">
        <v>14</v>
      </c>
      <c r="B74">
        <v>71.936000000000007</v>
      </c>
      <c r="C74">
        <v>13</v>
      </c>
      <c r="D74">
        <v>71.998000000000005</v>
      </c>
      <c r="H74">
        <v>14</v>
      </c>
      <c r="I74">
        <v>71.936000000000007</v>
      </c>
      <c r="J74">
        <v>13</v>
      </c>
      <c r="K74">
        <v>71.998000000000005</v>
      </c>
    </row>
    <row r="75" spans="1:12" x14ac:dyDescent="0.35">
      <c r="A75">
        <v>14</v>
      </c>
      <c r="B75">
        <v>78.414000000000001</v>
      </c>
      <c r="C75">
        <v>13</v>
      </c>
      <c r="D75">
        <v>78.489000000000004</v>
      </c>
      <c r="H75">
        <v>14</v>
      </c>
      <c r="I75">
        <v>78.414000000000001</v>
      </c>
      <c r="J75">
        <v>13</v>
      </c>
      <c r="K75">
        <v>78.489000000000004</v>
      </c>
    </row>
    <row r="76" spans="1:12" x14ac:dyDescent="0.35">
      <c r="A76">
        <v>15</v>
      </c>
      <c r="B76">
        <v>29.47</v>
      </c>
      <c r="C76">
        <v>1</v>
      </c>
      <c r="D76" s="1">
        <v>29.58</v>
      </c>
      <c r="E76" t="s">
        <v>28</v>
      </c>
      <c r="H76">
        <v>15</v>
      </c>
      <c r="I76">
        <v>29.47</v>
      </c>
      <c r="J76">
        <v>1</v>
      </c>
      <c r="K76" s="1">
        <v>29.58</v>
      </c>
      <c r="L76">
        <f>100/3.6</f>
        <v>27.777777777777779</v>
      </c>
    </row>
    <row r="77" spans="1:12" x14ac:dyDescent="0.35">
      <c r="A77">
        <v>16</v>
      </c>
      <c r="B77">
        <v>32.72</v>
      </c>
      <c r="C77">
        <v>17</v>
      </c>
      <c r="D77" s="1">
        <v>32.83</v>
      </c>
      <c r="H77">
        <v>16</v>
      </c>
      <c r="I77">
        <v>32.72</v>
      </c>
      <c r="J77">
        <v>17</v>
      </c>
      <c r="K77" s="1">
        <v>32.83</v>
      </c>
    </row>
    <row r="78" spans="1:12" x14ac:dyDescent="0.35">
      <c r="A78">
        <v>16</v>
      </c>
      <c r="B78">
        <v>33.65</v>
      </c>
      <c r="C78">
        <v>14</v>
      </c>
      <c r="D78" s="1">
        <v>33.700000000000003</v>
      </c>
      <c r="H78">
        <v>16</v>
      </c>
      <c r="I78">
        <v>33.65</v>
      </c>
      <c r="J78">
        <v>14</v>
      </c>
      <c r="K78" s="1">
        <v>33.700000000000003</v>
      </c>
    </row>
    <row r="79" spans="1:12" x14ac:dyDescent="0.35">
      <c r="A79">
        <v>17</v>
      </c>
      <c r="B79">
        <v>33.619999999999997</v>
      </c>
      <c r="C79">
        <v>16</v>
      </c>
      <c r="D79" s="1">
        <v>33.65</v>
      </c>
      <c r="E79" t="s">
        <v>31</v>
      </c>
      <c r="H79">
        <v>17</v>
      </c>
      <c r="I79">
        <v>33.619999999999997</v>
      </c>
      <c r="J79">
        <v>16</v>
      </c>
      <c r="K79" s="1">
        <v>33.65</v>
      </c>
      <c r="L79">
        <f>30/3.6</f>
        <v>8.3333333333333339</v>
      </c>
    </row>
    <row r="80" spans="1:12" x14ac:dyDescent="0.35">
      <c r="A80">
        <v>18</v>
      </c>
      <c r="B80">
        <v>33.341000000000001</v>
      </c>
      <c r="C80">
        <v>17</v>
      </c>
      <c r="D80" s="1">
        <v>33.457999999999998</v>
      </c>
      <c r="H80">
        <v>18</v>
      </c>
      <c r="I80">
        <v>33.341000000000001</v>
      </c>
      <c r="J80">
        <v>17</v>
      </c>
      <c r="K80" s="1">
        <v>33.457999999999998</v>
      </c>
    </row>
    <row r="81" spans="1:11" x14ac:dyDescent="0.35">
      <c r="A81">
        <v>19</v>
      </c>
      <c r="B81">
        <v>46.100999999999999</v>
      </c>
      <c r="C81">
        <v>13</v>
      </c>
      <c r="D81" s="1">
        <v>46.218000000000004</v>
      </c>
      <c r="H81">
        <v>19</v>
      </c>
      <c r="I81">
        <v>46.100999999999999</v>
      </c>
      <c r="J81">
        <v>13</v>
      </c>
      <c r="K81" s="1">
        <v>46.218000000000004</v>
      </c>
    </row>
    <row r="82" spans="1:11" x14ac:dyDescent="0.35">
      <c r="A82">
        <v>20</v>
      </c>
      <c r="B82">
        <v>45.83</v>
      </c>
      <c r="C82">
        <v>14</v>
      </c>
      <c r="D82">
        <v>45.9</v>
      </c>
      <c r="H82">
        <v>20</v>
      </c>
      <c r="I82">
        <v>45.83</v>
      </c>
      <c r="J82">
        <v>14</v>
      </c>
      <c r="K82">
        <v>45.9</v>
      </c>
    </row>
    <row r="83" spans="1:11" x14ac:dyDescent="0.35">
      <c r="A83">
        <v>21</v>
      </c>
      <c r="B83">
        <v>46.052</v>
      </c>
      <c r="C83">
        <v>14</v>
      </c>
      <c r="D83">
        <v>46.097000000000001</v>
      </c>
      <c r="H83">
        <v>21</v>
      </c>
      <c r="I83">
        <v>46.052</v>
      </c>
      <c r="J83">
        <v>14</v>
      </c>
      <c r="K83">
        <v>46.097000000000001</v>
      </c>
    </row>
    <row r="84" spans="1:11" x14ac:dyDescent="0.35">
      <c r="A84">
        <v>22</v>
      </c>
      <c r="B84">
        <v>46.218000000000004</v>
      </c>
      <c r="C84">
        <v>14</v>
      </c>
      <c r="D84">
        <v>46.28</v>
      </c>
      <c r="H84">
        <v>22</v>
      </c>
      <c r="I84">
        <v>46.218000000000004</v>
      </c>
      <c r="J84">
        <v>14</v>
      </c>
      <c r="K84">
        <v>46.28</v>
      </c>
    </row>
    <row r="85" spans="1:11" x14ac:dyDescent="0.35">
      <c r="A85">
        <v>23</v>
      </c>
      <c r="B85">
        <v>32.484000000000002</v>
      </c>
      <c r="C85">
        <v>1</v>
      </c>
      <c r="D85">
        <v>32.713999999999999</v>
      </c>
      <c r="H85">
        <v>23</v>
      </c>
      <c r="I85">
        <v>32.484000000000002</v>
      </c>
      <c r="J85">
        <v>1</v>
      </c>
      <c r="K85">
        <v>32.713999999999999</v>
      </c>
    </row>
    <row r="86" spans="1:11" x14ac:dyDescent="0.35">
      <c r="A86">
        <v>23</v>
      </c>
      <c r="B86">
        <v>32.65</v>
      </c>
      <c r="C86">
        <v>24</v>
      </c>
      <c r="D86">
        <v>32.68</v>
      </c>
      <c r="H86">
        <v>23</v>
      </c>
      <c r="I86">
        <v>32.65</v>
      </c>
      <c r="J86">
        <v>24</v>
      </c>
      <c r="K86">
        <v>32.68</v>
      </c>
    </row>
    <row r="87" spans="1:11" x14ac:dyDescent="0.35">
      <c r="A87">
        <v>24</v>
      </c>
      <c r="B87">
        <v>32.68</v>
      </c>
      <c r="C87">
        <v>25</v>
      </c>
      <c r="D87">
        <v>32.72</v>
      </c>
      <c r="H87">
        <v>24</v>
      </c>
      <c r="I87">
        <v>32.68</v>
      </c>
      <c r="J87">
        <v>25</v>
      </c>
      <c r="K87">
        <v>32.72</v>
      </c>
    </row>
    <row r="88" spans="1:11" x14ac:dyDescent="0.35">
      <c r="A88">
        <v>25</v>
      </c>
      <c r="B88">
        <v>32.72</v>
      </c>
      <c r="C88">
        <v>26</v>
      </c>
      <c r="D88">
        <v>32.770000000000003</v>
      </c>
      <c r="H88">
        <v>25</v>
      </c>
      <c r="I88">
        <v>32.72</v>
      </c>
      <c r="J88">
        <v>26</v>
      </c>
      <c r="K88">
        <v>32.770000000000003</v>
      </c>
    </row>
    <row r="89" spans="1:11" x14ac:dyDescent="0.35">
      <c r="A89">
        <v>25</v>
      </c>
      <c r="B89">
        <v>33.317999999999998</v>
      </c>
      <c r="C89">
        <v>26</v>
      </c>
      <c r="D89">
        <v>33.479999999999997</v>
      </c>
      <c r="H89">
        <v>25</v>
      </c>
      <c r="I89">
        <v>33.317999999999998</v>
      </c>
      <c r="J89">
        <v>26</v>
      </c>
      <c r="K89">
        <v>33.479999999999997</v>
      </c>
    </row>
    <row r="90" spans="1:11" x14ac:dyDescent="0.35">
      <c r="A90">
        <v>26</v>
      </c>
      <c r="B90">
        <v>33.479999999999997</v>
      </c>
      <c r="C90">
        <v>13</v>
      </c>
      <c r="D90" s="1">
        <v>33.56</v>
      </c>
      <c r="H90">
        <v>26</v>
      </c>
      <c r="I90">
        <v>33.479999999999997</v>
      </c>
      <c r="J90">
        <v>13</v>
      </c>
      <c r="K90" s="1">
        <v>33.56</v>
      </c>
    </row>
    <row r="91" spans="1:11" x14ac:dyDescent="0.35">
      <c r="A91">
        <v>27</v>
      </c>
      <c r="B91">
        <v>65.313000000000002</v>
      </c>
      <c r="C91">
        <v>13</v>
      </c>
      <c r="D91">
        <v>65.488</v>
      </c>
      <c r="H91">
        <v>27</v>
      </c>
      <c r="I91">
        <v>65.313000000000002</v>
      </c>
      <c r="J91">
        <v>13</v>
      </c>
      <c r="K91">
        <v>65.488</v>
      </c>
    </row>
    <row r="92" spans="1:11" x14ac:dyDescent="0.35">
      <c r="A92">
        <v>27</v>
      </c>
      <c r="B92">
        <v>65.614999999999995</v>
      </c>
      <c r="C92">
        <v>13</v>
      </c>
      <c r="D92">
        <v>65.674999999999997</v>
      </c>
      <c r="H92">
        <v>27</v>
      </c>
      <c r="I92">
        <v>65.614999999999995</v>
      </c>
      <c r="J92">
        <v>13</v>
      </c>
      <c r="K92">
        <v>65.674999999999997</v>
      </c>
    </row>
    <row r="93" spans="1:11" x14ac:dyDescent="0.35">
      <c r="A93">
        <v>27</v>
      </c>
      <c r="B93">
        <v>66.138999999999996</v>
      </c>
      <c r="C93">
        <v>13</v>
      </c>
      <c r="D93">
        <v>66.305000000000007</v>
      </c>
      <c r="H93">
        <v>27</v>
      </c>
      <c r="I93">
        <v>66.138999999999996</v>
      </c>
      <c r="J93">
        <v>13</v>
      </c>
      <c r="K93">
        <v>66.305000000000007</v>
      </c>
    </row>
    <row r="94" spans="1:11" x14ac:dyDescent="0.35">
      <c r="A94">
        <v>28</v>
      </c>
      <c r="B94">
        <v>65.614999999999995</v>
      </c>
      <c r="C94">
        <v>31</v>
      </c>
      <c r="D94">
        <v>65.724999999999994</v>
      </c>
      <c r="H94">
        <v>28</v>
      </c>
      <c r="I94">
        <v>65.614999999999995</v>
      </c>
      <c r="J94">
        <v>31</v>
      </c>
      <c r="K94">
        <v>65.724999999999994</v>
      </c>
    </row>
    <row r="95" spans="1:11" x14ac:dyDescent="0.35">
      <c r="A95">
        <v>28</v>
      </c>
      <c r="B95">
        <v>65.644999999999996</v>
      </c>
      <c r="C95">
        <v>29</v>
      </c>
      <c r="D95">
        <v>65.724999999999994</v>
      </c>
      <c r="H95">
        <v>28</v>
      </c>
      <c r="I95">
        <v>65.644999999999996</v>
      </c>
      <c r="J95">
        <v>29</v>
      </c>
      <c r="K95">
        <v>65.724999999999994</v>
      </c>
    </row>
    <row r="96" spans="1:11" x14ac:dyDescent="0.35">
      <c r="A96">
        <v>28</v>
      </c>
      <c r="B96">
        <v>66.41</v>
      </c>
      <c r="C96">
        <v>14</v>
      </c>
      <c r="D96">
        <v>66.465000000000003</v>
      </c>
      <c r="H96">
        <v>28</v>
      </c>
      <c r="I96">
        <v>66.41</v>
      </c>
      <c r="J96">
        <v>14</v>
      </c>
      <c r="K96">
        <v>66.465000000000003</v>
      </c>
    </row>
    <row r="97" spans="1:11" x14ac:dyDescent="0.35">
      <c r="A97">
        <v>29</v>
      </c>
      <c r="B97">
        <v>66.37</v>
      </c>
      <c r="C97">
        <v>28</v>
      </c>
      <c r="D97">
        <v>66.41</v>
      </c>
      <c r="H97">
        <v>29</v>
      </c>
      <c r="I97">
        <v>66.37</v>
      </c>
      <c r="J97">
        <v>28</v>
      </c>
      <c r="K97">
        <v>66.41</v>
      </c>
    </row>
    <row r="98" spans="1:11" x14ac:dyDescent="0.35">
      <c r="A98">
        <v>30</v>
      </c>
      <c r="B98">
        <v>66.210999999999999</v>
      </c>
      <c r="C98">
        <v>32</v>
      </c>
      <c r="D98">
        <v>66.260999999999996</v>
      </c>
      <c r="H98">
        <v>30</v>
      </c>
      <c r="I98">
        <v>66.210999999999999</v>
      </c>
      <c r="J98">
        <v>32</v>
      </c>
      <c r="K98">
        <v>66.224999999999994</v>
      </c>
    </row>
    <row r="99" spans="1:11" x14ac:dyDescent="0.35">
      <c r="A99">
        <v>31</v>
      </c>
      <c r="B99">
        <v>65.724999999999994</v>
      </c>
      <c r="C99">
        <v>32</v>
      </c>
      <c r="D99">
        <v>65.738</v>
      </c>
      <c r="H99">
        <v>31</v>
      </c>
      <c r="I99">
        <v>65.724999999999994</v>
      </c>
      <c r="J99">
        <v>32</v>
      </c>
      <c r="K99">
        <v>65.738</v>
      </c>
    </row>
    <row r="100" spans="1:11" x14ac:dyDescent="0.35">
      <c r="A100">
        <v>31</v>
      </c>
      <c r="B100">
        <v>65.738</v>
      </c>
      <c r="C100">
        <v>30</v>
      </c>
      <c r="D100">
        <v>65.78</v>
      </c>
      <c r="H100">
        <v>31</v>
      </c>
      <c r="I100">
        <v>65.738</v>
      </c>
      <c r="J100">
        <v>30</v>
      </c>
      <c r="K100">
        <v>65.78</v>
      </c>
    </row>
    <row r="101" spans="1:11" x14ac:dyDescent="0.35">
      <c r="A101">
        <v>31</v>
      </c>
      <c r="B101">
        <v>66.210999999999999</v>
      </c>
      <c r="C101">
        <v>32</v>
      </c>
      <c r="D101">
        <v>66.224999999999994</v>
      </c>
      <c r="H101">
        <v>31</v>
      </c>
      <c r="I101">
        <v>66.210999999999999</v>
      </c>
      <c r="J101">
        <v>32</v>
      </c>
      <c r="K101">
        <v>66.260999999999996</v>
      </c>
    </row>
    <row r="102" spans="1:11" x14ac:dyDescent="0.35">
      <c r="A102">
        <v>32</v>
      </c>
      <c r="B102">
        <v>65.738</v>
      </c>
      <c r="C102">
        <v>33</v>
      </c>
      <c r="D102">
        <v>65.78</v>
      </c>
      <c r="H102">
        <v>32</v>
      </c>
      <c r="I102">
        <v>65.738</v>
      </c>
      <c r="J102">
        <v>33</v>
      </c>
      <c r="K102">
        <v>65.78</v>
      </c>
    </row>
    <row r="103" spans="1:11" x14ac:dyDescent="0.35">
      <c r="A103">
        <v>32</v>
      </c>
      <c r="B103">
        <v>66.346999999999994</v>
      </c>
      <c r="C103">
        <v>29</v>
      </c>
      <c r="D103">
        <v>66.37</v>
      </c>
      <c r="H103">
        <v>32</v>
      </c>
      <c r="I103">
        <v>66.346999999999994</v>
      </c>
      <c r="J103">
        <v>29</v>
      </c>
      <c r="K103">
        <v>66.37</v>
      </c>
    </row>
    <row r="104" spans="1:11" x14ac:dyDescent="0.35">
      <c r="A104">
        <v>33</v>
      </c>
      <c r="B104">
        <v>65.78</v>
      </c>
      <c r="C104">
        <v>34</v>
      </c>
      <c r="D104">
        <v>65.796999999999997</v>
      </c>
      <c r="H104">
        <v>33</v>
      </c>
      <c r="I104">
        <v>65.78</v>
      </c>
      <c r="J104">
        <v>34</v>
      </c>
      <c r="K104">
        <v>65.796999999999997</v>
      </c>
    </row>
    <row r="105" spans="1:11" x14ac:dyDescent="0.35">
      <c r="A105">
        <v>33</v>
      </c>
      <c r="B105">
        <v>66.27</v>
      </c>
      <c r="C105">
        <v>32</v>
      </c>
      <c r="D105">
        <v>66.346999999999994</v>
      </c>
      <c r="H105">
        <v>33</v>
      </c>
      <c r="I105">
        <v>66.27</v>
      </c>
      <c r="J105">
        <v>32</v>
      </c>
      <c r="K105">
        <v>66.346999999999994</v>
      </c>
    </row>
    <row r="106" spans="1:11" x14ac:dyDescent="0.35">
      <c r="A106">
        <v>34</v>
      </c>
      <c r="B106">
        <v>66.260999999999996</v>
      </c>
      <c r="C106">
        <v>33</v>
      </c>
      <c r="D106">
        <v>66.27</v>
      </c>
      <c r="H106">
        <v>34</v>
      </c>
      <c r="I106">
        <v>66.260999999999996</v>
      </c>
      <c r="J106">
        <v>33</v>
      </c>
      <c r="K106">
        <v>66.27</v>
      </c>
    </row>
    <row r="107" spans="1:11" x14ac:dyDescent="0.35">
      <c r="A107">
        <v>35</v>
      </c>
      <c r="B107">
        <v>71.418999999999997</v>
      </c>
      <c r="C107">
        <v>36</v>
      </c>
      <c r="D107">
        <v>71.456999999999994</v>
      </c>
      <c r="H107">
        <v>35</v>
      </c>
      <c r="I107">
        <v>71.418999999999997</v>
      </c>
      <c r="J107">
        <v>36</v>
      </c>
      <c r="K107">
        <v>71.456999999999994</v>
      </c>
    </row>
    <row r="108" spans="1:11" x14ac:dyDescent="0.35">
      <c r="A108">
        <v>36</v>
      </c>
      <c r="B108">
        <v>70.828999999999994</v>
      </c>
      <c r="C108">
        <v>35</v>
      </c>
      <c r="D108" s="1">
        <v>70.846999999999994</v>
      </c>
      <c r="H108">
        <v>36</v>
      </c>
      <c r="I108">
        <v>70.828999999999994</v>
      </c>
      <c r="J108">
        <v>35</v>
      </c>
      <c r="K108" s="1">
        <v>70.846999999999994</v>
      </c>
    </row>
    <row r="109" spans="1:11" x14ac:dyDescent="0.35">
      <c r="A109">
        <v>36</v>
      </c>
      <c r="B109">
        <v>71.456999999999994</v>
      </c>
      <c r="C109">
        <v>13</v>
      </c>
      <c r="D109">
        <v>71.52</v>
      </c>
      <c r="H109">
        <v>36</v>
      </c>
      <c r="I109">
        <v>71.456999999999994</v>
      </c>
      <c r="J109">
        <v>13</v>
      </c>
      <c r="K109">
        <v>71.52</v>
      </c>
    </row>
    <row r="110" spans="1:11" x14ac:dyDescent="0.35">
      <c r="A110">
        <v>37</v>
      </c>
      <c r="B110">
        <v>71.998000000000005</v>
      </c>
      <c r="C110">
        <v>14</v>
      </c>
      <c r="D110">
        <v>72.468999999999994</v>
      </c>
      <c r="H110">
        <v>37</v>
      </c>
      <c r="I110">
        <v>71.998000000000005</v>
      </c>
      <c r="J110">
        <v>14</v>
      </c>
      <c r="K110">
        <v>72.468999999999994</v>
      </c>
    </row>
  </sheetData>
  <autoFilter ref="A1:E110" xr:uid="{1FE2DC30-0318-4225-94A0-F3FCF1A11992}">
    <sortState xmlns:xlrd2="http://schemas.microsoft.com/office/spreadsheetml/2017/richdata2" ref="A2:E110">
      <sortCondition ref="A1:A110"/>
    </sortState>
  </autoFilter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E8E3-1514-45A1-8656-7441FFD9E349}">
  <dimension ref="A1:J109"/>
  <sheetViews>
    <sheetView zoomScale="70" zoomScaleNormal="70" workbookViewId="0">
      <selection activeCell="A24" sqref="A24:XFD31"/>
    </sheetView>
  </sheetViews>
  <sheetFormatPr defaultRowHeight="14.5" x14ac:dyDescent="0.35"/>
  <cols>
    <col min="7" max="7" width="39.36328125" bestFit="1" customWidth="1"/>
    <col min="11" max="11" width="37.26953125" bestFit="1" customWidth="1"/>
  </cols>
  <sheetData>
    <row r="1" spans="1:7" x14ac:dyDescent="0.35">
      <c r="A1" t="s">
        <v>497</v>
      </c>
      <c r="B1" t="s">
        <v>498</v>
      </c>
      <c r="C1" t="s">
        <v>499</v>
      </c>
      <c r="D1" t="s">
        <v>500</v>
      </c>
    </row>
    <row r="2" spans="1:7" x14ac:dyDescent="0.35">
      <c r="A2">
        <v>0</v>
      </c>
      <c r="B2">
        <v>11.34</v>
      </c>
      <c r="C2">
        <v>1</v>
      </c>
      <c r="D2">
        <v>11.42</v>
      </c>
      <c r="E2" t="str">
        <f>IF(D2&gt;B2,"OK","Check")</f>
        <v>OK</v>
      </c>
      <c r="G2" t="s">
        <v>430</v>
      </c>
    </row>
    <row r="3" spans="1:7" x14ac:dyDescent="0.35">
      <c r="A3">
        <v>0</v>
      </c>
      <c r="B3">
        <v>11.59</v>
      </c>
      <c r="C3">
        <v>3</v>
      </c>
      <c r="D3">
        <v>11.676</v>
      </c>
      <c r="E3" t="str">
        <f t="shared" ref="E3:E66" si="0">IF(D3&gt;B3,"OK","Check")</f>
        <v>OK</v>
      </c>
      <c r="G3" t="s">
        <v>431</v>
      </c>
    </row>
    <row r="4" spans="1:7" x14ac:dyDescent="0.35">
      <c r="A4">
        <v>0</v>
      </c>
      <c r="B4">
        <v>12.98</v>
      </c>
      <c r="C4">
        <v>1</v>
      </c>
      <c r="D4">
        <v>13.06</v>
      </c>
      <c r="E4" t="str">
        <f t="shared" si="0"/>
        <v>OK</v>
      </c>
      <c r="G4" t="s">
        <v>432</v>
      </c>
    </row>
    <row r="5" spans="1:7" x14ac:dyDescent="0.35">
      <c r="A5">
        <v>0</v>
      </c>
      <c r="B5">
        <v>33.676000000000002</v>
      </c>
      <c r="C5">
        <v>1</v>
      </c>
      <c r="D5">
        <v>33.746000000000002</v>
      </c>
      <c r="E5" t="str">
        <f t="shared" si="0"/>
        <v>OK</v>
      </c>
      <c r="G5" t="s">
        <v>532</v>
      </c>
    </row>
    <row r="6" spans="1:7" x14ac:dyDescent="0.35">
      <c r="A6">
        <v>1</v>
      </c>
      <c r="B6">
        <v>11.5</v>
      </c>
      <c r="C6">
        <v>0</v>
      </c>
      <c r="D6">
        <v>11.59</v>
      </c>
      <c r="E6" t="str">
        <f t="shared" si="0"/>
        <v>OK</v>
      </c>
      <c r="G6" t="s">
        <v>433</v>
      </c>
    </row>
    <row r="7" spans="1:7" x14ac:dyDescent="0.35">
      <c r="A7">
        <v>1</v>
      </c>
      <c r="B7">
        <v>11.59</v>
      </c>
      <c r="C7">
        <v>2</v>
      </c>
      <c r="D7">
        <v>11.676</v>
      </c>
      <c r="E7" t="str">
        <f t="shared" si="0"/>
        <v>OK</v>
      </c>
      <c r="G7" t="s">
        <v>434</v>
      </c>
    </row>
    <row r="8" spans="1:7" x14ac:dyDescent="0.35">
      <c r="A8">
        <v>1</v>
      </c>
      <c r="B8">
        <v>13.06</v>
      </c>
      <c r="C8">
        <v>2</v>
      </c>
      <c r="D8">
        <v>13.14</v>
      </c>
      <c r="E8" t="str">
        <f t="shared" si="0"/>
        <v>OK</v>
      </c>
      <c r="G8" t="s">
        <v>435</v>
      </c>
    </row>
    <row r="9" spans="1:7" x14ac:dyDescent="0.35">
      <c r="A9">
        <v>1</v>
      </c>
      <c r="B9">
        <v>13.14</v>
      </c>
      <c r="C9">
        <v>0</v>
      </c>
      <c r="D9">
        <v>13.22</v>
      </c>
      <c r="E9" t="str">
        <f t="shared" si="0"/>
        <v>OK</v>
      </c>
      <c r="G9" t="s">
        <v>436</v>
      </c>
    </row>
    <row r="10" spans="1:7" x14ac:dyDescent="0.35">
      <c r="A10">
        <v>1</v>
      </c>
      <c r="B10">
        <v>19.422999999999998</v>
      </c>
      <c r="C10">
        <v>0</v>
      </c>
      <c r="D10">
        <v>19.507000000000001</v>
      </c>
      <c r="E10" t="str">
        <f t="shared" si="0"/>
        <v>OK</v>
      </c>
      <c r="G10" t="s">
        <v>437</v>
      </c>
    </row>
    <row r="11" spans="1:7" x14ac:dyDescent="0.35">
      <c r="A11">
        <v>1</v>
      </c>
      <c r="B11">
        <v>26.43</v>
      </c>
      <c r="C11">
        <v>10</v>
      </c>
      <c r="D11" s="1">
        <v>26.49</v>
      </c>
      <c r="E11" t="str">
        <f t="shared" si="0"/>
        <v>OK</v>
      </c>
      <c r="G11" t="s">
        <v>438</v>
      </c>
    </row>
    <row r="12" spans="1:7" x14ac:dyDescent="0.35">
      <c r="A12">
        <v>1</v>
      </c>
      <c r="B12">
        <v>30.05</v>
      </c>
      <c r="C12">
        <v>14</v>
      </c>
      <c r="D12">
        <v>30.2</v>
      </c>
      <c r="E12" t="str">
        <f t="shared" si="0"/>
        <v>OK</v>
      </c>
      <c r="G12" t="s">
        <v>533</v>
      </c>
    </row>
    <row r="13" spans="1:7" x14ac:dyDescent="0.35">
      <c r="A13">
        <v>1</v>
      </c>
      <c r="B13">
        <v>30.22</v>
      </c>
      <c r="C13">
        <v>13</v>
      </c>
      <c r="D13" s="1">
        <v>30.332000000000001</v>
      </c>
      <c r="E13" t="str">
        <f t="shared" si="0"/>
        <v>OK</v>
      </c>
      <c r="G13" t="s">
        <v>534</v>
      </c>
    </row>
    <row r="14" spans="1:7" x14ac:dyDescent="0.35">
      <c r="A14">
        <v>1</v>
      </c>
      <c r="B14">
        <v>32.713999999999999</v>
      </c>
      <c r="C14">
        <v>0</v>
      </c>
      <c r="D14">
        <v>32.764000000000003</v>
      </c>
      <c r="E14" t="str">
        <f t="shared" si="0"/>
        <v>OK</v>
      </c>
      <c r="G14" t="s">
        <v>538</v>
      </c>
    </row>
    <row r="15" spans="1:7" x14ac:dyDescent="0.35">
      <c r="A15">
        <v>1</v>
      </c>
      <c r="B15">
        <v>33.79</v>
      </c>
      <c r="C15">
        <v>0</v>
      </c>
      <c r="D15" s="1">
        <v>33.814999999999998</v>
      </c>
      <c r="E15" t="str">
        <f t="shared" si="0"/>
        <v>OK</v>
      </c>
      <c r="G15" t="s">
        <v>535</v>
      </c>
    </row>
    <row r="16" spans="1:7" x14ac:dyDescent="0.35">
      <c r="A16">
        <v>2</v>
      </c>
      <c r="B16">
        <v>11.42</v>
      </c>
      <c r="C16">
        <v>1</v>
      </c>
      <c r="D16">
        <v>11.5</v>
      </c>
      <c r="E16" t="str">
        <f t="shared" si="0"/>
        <v>OK</v>
      </c>
      <c r="G16" t="s">
        <v>439</v>
      </c>
    </row>
    <row r="17" spans="1:7" x14ac:dyDescent="0.35">
      <c r="A17">
        <v>2</v>
      </c>
      <c r="B17">
        <v>11.676</v>
      </c>
      <c r="C17">
        <v>4</v>
      </c>
      <c r="D17">
        <v>11.846</v>
      </c>
      <c r="E17" t="str">
        <f t="shared" si="0"/>
        <v>OK</v>
      </c>
      <c r="G17" t="s">
        <v>440</v>
      </c>
    </row>
    <row r="18" spans="1:7" x14ac:dyDescent="0.35">
      <c r="A18">
        <v>2</v>
      </c>
      <c r="B18">
        <v>12.749000000000001</v>
      </c>
      <c r="C18">
        <v>0</v>
      </c>
      <c r="D18">
        <v>12.92</v>
      </c>
      <c r="E18" t="str">
        <f t="shared" si="0"/>
        <v>OK</v>
      </c>
      <c r="G18" t="s">
        <v>441</v>
      </c>
    </row>
    <row r="19" spans="1:7" x14ac:dyDescent="0.35">
      <c r="A19">
        <v>2</v>
      </c>
      <c r="B19">
        <v>13.14</v>
      </c>
      <c r="C19">
        <v>4</v>
      </c>
      <c r="D19">
        <v>13.22</v>
      </c>
      <c r="E19" t="str">
        <f t="shared" si="0"/>
        <v>OK</v>
      </c>
      <c r="G19" t="s">
        <v>442</v>
      </c>
    </row>
    <row r="20" spans="1:7" x14ac:dyDescent="0.35">
      <c r="A20">
        <v>2</v>
      </c>
      <c r="B20">
        <v>19.05</v>
      </c>
      <c r="C20">
        <v>1</v>
      </c>
      <c r="D20">
        <v>19.183</v>
      </c>
      <c r="E20" t="str">
        <f t="shared" si="0"/>
        <v>OK</v>
      </c>
      <c r="G20" t="s">
        <v>503</v>
      </c>
    </row>
    <row r="21" spans="1:7" x14ac:dyDescent="0.35">
      <c r="A21">
        <v>2</v>
      </c>
      <c r="B21">
        <v>27.43</v>
      </c>
      <c r="C21">
        <v>11</v>
      </c>
      <c r="D21" s="1">
        <v>27.62</v>
      </c>
      <c r="E21" t="str">
        <f t="shared" si="0"/>
        <v>OK</v>
      </c>
      <c r="G21" t="s">
        <v>443</v>
      </c>
    </row>
    <row r="22" spans="1:7" x14ac:dyDescent="0.35">
      <c r="A22">
        <v>2</v>
      </c>
      <c r="B22">
        <v>66.55</v>
      </c>
      <c r="C22">
        <v>4</v>
      </c>
      <c r="D22">
        <v>66.75</v>
      </c>
      <c r="E22" t="str">
        <f t="shared" si="0"/>
        <v>OK</v>
      </c>
      <c r="G22" t="s">
        <v>444</v>
      </c>
    </row>
    <row r="23" spans="1:7" x14ac:dyDescent="0.35">
      <c r="A23">
        <v>2</v>
      </c>
      <c r="B23">
        <v>78</v>
      </c>
      <c r="C23">
        <v>14</v>
      </c>
      <c r="D23">
        <v>78.391999999999996</v>
      </c>
      <c r="E23" t="str">
        <f t="shared" si="0"/>
        <v>OK</v>
      </c>
      <c r="G23" t="s">
        <v>445</v>
      </c>
    </row>
    <row r="24" spans="1:7" x14ac:dyDescent="0.35">
      <c r="A24">
        <v>4</v>
      </c>
      <c r="B24">
        <v>11.14</v>
      </c>
      <c r="C24">
        <v>2</v>
      </c>
      <c r="D24">
        <v>11.24</v>
      </c>
      <c r="E24" t="str">
        <f t="shared" si="0"/>
        <v>OK</v>
      </c>
      <c r="G24" t="s">
        <v>540</v>
      </c>
    </row>
    <row r="25" spans="1:7" x14ac:dyDescent="0.35">
      <c r="A25">
        <v>4</v>
      </c>
      <c r="B25">
        <v>11.34</v>
      </c>
      <c r="C25">
        <v>2</v>
      </c>
      <c r="D25">
        <v>11.42</v>
      </c>
      <c r="E25" t="str">
        <f t="shared" si="0"/>
        <v>OK</v>
      </c>
      <c r="G25" t="s">
        <v>541</v>
      </c>
    </row>
    <row r="26" spans="1:7" x14ac:dyDescent="0.35">
      <c r="A26">
        <v>4</v>
      </c>
      <c r="B26">
        <v>12.8</v>
      </c>
      <c r="C26">
        <v>1</v>
      </c>
      <c r="D26">
        <v>12.98</v>
      </c>
      <c r="E26" t="str">
        <f t="shared" si="0"/>
        <v>OK</v>
      </c>
      <c r="G26" t="s">
        <v>545</v>
      </c>
    </row>
    <row r="27" spans="1:7" x14ac:dyDescent="0.35">
      <c r="A27">
        <v>4</v>
      </c>
      <c r="B27">
        <v>12.98</v>
      </c>
      <c r="C27">
        <v>2</v>
      </c>
      <c r="D27">
        <v>13.06</v>
      </c>
      <c r="E27" t="str">
        <f t="shared" si="0"/>
        <v>OK</v>
      </c>
      <c r="G27" t="s">
        <v>446</v>
      </c>
    </row>
    <row r="28" spans="1:7" x14ac:dyDescent="0.35">
      <c r="A28">
        <v>4</v>
      </c>
      <c r="B28">
        <v>18.96</v>
      </c>
      <c r="C28">
        <v>2</v>
      </c>
      <c r="D28">
        <v>19.05</v>
      </c>
      <c r="E28" t="str">
        <f t="shared" si="0"/>
        <v>OK</v>
      </c>
      <c r="G28" t="s">
        <v>542</v>
      </c>
    </row>
    <row r="29" spans="1:7" x14ac:dyDescent="0.35">
      <c r="A29">
        <v>4</v>
      </c>
      <c r="B29">
        <v>27.43</v>
      </c>
      <c r="C29">
        <v>12</v>
      </c>
      <c r="D29" s="1">
        <v>27.62</v>
      </c>
      <c r="E29" t="str">
        <f t="shared" si="0"/>
        <v>OK</v>
      </c>
      <c r="G29" t="s">
        <v>447</v>
      </c>
    </row>
    <row r="30" spans="1:7" x14ac:dyDescent="0.35">
      <c r="A30">
        <v>4</v>
      </c>
      <c r="B30">
        <v>65.694999999999993</v>
      </c>
      <c r="C30">
        <v>2</v>
      </c>
      <c r="D30">
        <v>65.894999999999996</v>
      </c>
      <c r="E30" t="str">
        <f t="shared" si="0"/>
        <v>OK</v>
      </c>
      <c r="G30" t="s">
        <v>448</v>
      </c>
    </row>
    <row r="31" spans="1:7" x14ac:dyDescent="0.35">
      <c r="A31">
        <v>4</v>
      </c>
      <c r="B31">
        <v>78.414000000000001</v>
      </c>
      <c r="C31">
        <v>14</v>
      </c>
      <c r="D31">
        <v>78.489000000000004</v>
      </c>
      <c r="E31" t="str">
        <f t="shared" si="0"/>
        <v>OK</v>
      </c>
      <c r="G31" t="s">
        <v>449</v>
      </c>
    </row>
    <row r="32" spans="1:7" x14ac:dyDescent="0.35">
      <c r="A32">
        <v>5</v>
      </c>
      <c r="B32">
        <v>10.987</v>
      </c>
      <c r="C32">
        <v>4</v>
      </c>
      <c r="D32">
        <v>11.14</v>
      </c>
      <c r="E32" t="str">
        <f t="shared" si="0"/>
        <v>OK</v>
      </c>
      <c r="G32" t="s">
        <v>543</v>
      </c>
    </row>
    <row r="33" spans="1:10" x14ac:dyDescent="0.35">
      <c r="A33">
        <v>6</v>
      </c>
      <c r="B33">
        <v>11.14</v>
      </c>
      <c r="C33">
        <v>4</v>
      </c>
      <c r="D33">
        <v>11.34</v>
      </c>
      <c r="E33" t="str">
        <f t="shared" si="0"/>
        <v>OK</v>
      </c>
      <c r="G33" t="s">
        <v>450</v>
      </c>
    </row>
    <row r="34" spans="1:10" x14ac:dyDescent="0.35">
      <c r="A34">
        <v>7</v>
      </c>
      <c r="B34">
        <v>17.655000000000001</v>
      </c>
      <c r="C34">
        <v>9</v>
      </c>
      <c r="D34">
        <v>17.805499999999999</v>
      </c>
      <c r="E34" t="str">
        <f t="shared" si="0"/>
        <v>OK</v>
      </c>
      <c r="G34" t="s">
        <v>504</v>
      </c>
    </row>
    <row r="35" spans="1:10" x14ac:dyDescent="0.35">
      <c r="A35">
        <v>7</v>
      </c>
      <c r="B35">
        <v>18.855</v>
      </c>
      <c r="C35">
        <v>4</v>
      </c>
      <c r="D35">
        <v>18.96</v>
      </c>
      <c r="E35" t="str">
        <f t="shared" si="0"/>
        <v>OK</v>
      </c>
      <c r="G35" t="s">
        <v>505</v>
      </c>
    </row>
    <row r="36" spans="1:10" x14ac:dyDescent="0.35">
      <c r="A36">
        <v>8</v>
      </c>
      <c r="B36">
        <v>18.643999999999998</v>
      </c>
      <c r="C36">
        <v>9</v>
      </c>
      <c r="D36">
        <v>18.71</v>
      </c>
      <c r="E36" t="str">
        <f t="shared" si="0"/>
        <v>OK</v>
      </c>
      <c r="G36" t="s">
        <v>451</v>
      </c>
    </row>
    <row r="37" spans="1:10" x14ac:dyDescent="0.35">
      <c r="A37">
        <v>9</v>
      </c>
      <c r="B37">
        <v>17.805499999999999</v>
      </c>
      <c r="C37">
        <v>8</v>
      </c>
      <c r="D37">
        <v>17.876999999999999</v>
      </c>
      <c r="E37" t="str">
        <f t="shared" si="0"/>
        <v>OK</v>
      </c>
      <c r="G37" t="s">
        <v>506</v>
      </c>
    </row>
    <row r="38" spans="1:10" x14ac:dyDescent="0.35">
      <c r="A38">
        <v>9</v>
      </c>
      <c r="B38">
        <v>18.71</v>
      </c>
      <c r="C38">
        <v>7</v>
      </c>
      <c r="D38">
        <v>18.855</v>
      </c>
      <c r="E38" t="str">
        <f t="shared" si="0"/>
        <v>OK</v>
      </c>
      <c r="G38" t="s">
        <v>452</v>
      </c>
    </row>
    <row r="39" spans="1:10" x14ac:dyDescent="0.35">
      <c r="A39">
        <v>10</v>
      </c>
      <c r="B39">
        <v>27.155000000000001</v>
      </c>
      <c r="C39">
        <v>1</v>
      </c>
      <c r="D39" s="1">
        <v>27.206</v>
      </c>
      <c r="E39" t="str">
        <f t="shared" si="0"/>
        <v>OK</v>
      </c>
      <c r="G39" t="s">
        <v>453</v>
      </c>
    </row>
    <row r="40" spans="1:10" x14ac:dyDescent="0.35">
      <c r="A40">
        <v>11</v>
      </c>
      <c r="B40">
        <v>28.79</v>
      </c>
      <c r="C40">
        <v>15</v>
      </c>
      <c r="D40" s="1">
        <v>28.9</v>
      </c>
      <c r="E40" t="str">
        <f t="shared" si="0"/>
        <v>OK</v>
      </c>
      <c r="G40" t="s">
        <v>454</v>
      </c>
    </row>
    <row r="41" spans="1:10" x14ac:dyDescent="0.35">
      <c r="A41">
        <v>11</v>
      </c>
      <c r="B41">
        <v>29.5</v>
      </c>
      <c r="C41">
        <v>1</v>
      </c>
      <c r="D41" s="1">
        <v>30.04</v>
      </c>
      <c r="E41" t="str">
        <f t="shared" si="0"/>
        <v>OK</v>
      </c>
      <c r="G41" t="s">
        <v>536</v>
      </c>
    </row>
    <row r="42" spans="1:10" x14ac:dyDescent="0.35">
      <c r="A42">
        <v>11</v>
      </c>
      <c r="B42">
        <v>32.344999999999999</v>
      </c>
      <c r="C42">
        <v>14</v>
      </c>
      <c r="D42" s="1">
        <v>32.423000000000002</v>
      </c>
      <c r="E42" t="str">
        <f t="shared" si="0"/>
        <v>OK</v>
      </c>
      <c r="G42" t="s">
        <v>455</v>
      </c>
    </row>
    <row r="43" spans="1:10" x14ac:dyDescent="0.35">
      <c r="A43">
        <v>11</v>
      </c>
      <c r="B43">
        <v>32.479999999999997</v>
      </c>
      <c r="C43">
        <v>12</v>
      </c>
      <c r="D43" s="1">
        <v>32.56</v>
      </c>
      <c r="E43" t="str">
        <f t="shared" si="0"/>
        <v>OK</v>
      </c>
      <c r="G43" t="s">
        <v>456</v>
      </c>
    </row>
    <row r="44" spans="1:10" x14ac:dyDescent="0.35">
      <c r="A44">
        <v>11</v>
      </c>
      <c r="B44">
        <v>33.322000000000003</v>
      </c>
      <c r="C44">
        <v>13</v>
      </c>
      <c r="D44" s="1">
        <v>33.479999999999997</v>
      </c>
      <c r="E44" t="str">
        <f t="shared" si="0"/>
        <v>OK</v>
      </c>
      <c r="G44" t="s">
        <v>507</v>
      </c>
    </row>
    <row r="45" spans="1:10" x14ac:dyDescent="0.35">
      <c r="A45">
        <v>12</v>
      </c>
      <c r="B45">
        <v>29.323</v>
      </c>
      <c r="C45">
        <v>11</v>
      </c>
      <c r="D45" s="1">
        <v>29.47</v>
      </c>
      <c r="E45" t="str">
        <f t="shared" si="0"/>
        <v>OK</v>
      </c>
      <c r="G45" t="s">
        <v>457</v>
      </c>
    </row>
    <row r="46" spans="1:10" x14ac:dyDescent="0.35">
      <c r="A46">
        <v>12</v>
      </c>
      <c r="B46">
        <v>32.69</v>
      </c>
      <c r="C46">
        <v>16</v>
      </c>
      <c r="D46" s="1">
        <v>32.72</v>
      </c>
      <c r="E46" t="str">
        <f t="shared" si="0"/>
        <v>OK</v>
      </c>
      <c r="G46" t="s">
        <v>458</v>
      </c>
    </row>
    <row r="47" spans="1:10" x14ac:dyDescent="0.35">
      <c r="A47">
        <v>12</v>
      </c>
      <c r="B47">
        <v>33.479999999999997</v>
      </c>
      <c r="C47">
        <v>14</v>
      </c>
      <c r="D47" s="1">
        <v>33.56</v>
      </c>
      <c r="E47" t="str">
        <f t="shared" si="0"/>
        <v>OK</v>
      </c>
      <c r="G47" t="s">
        <v>459</v>
      </c>
    </row>
    <row r="48" spans="1:10" x14ac:dyDescent="0.35">
      <c r="A48">
        <v>13</v>
      </c>
      <c r="B48">
        <v>32.423000000000002</v>
      </c>
      <c r="C48">
        <v>25</v>
      </c>
      <c r="D48" s="1">
        <v>32.56</v>
      </c>
      <c r="E48" t="str">
        <f t="shared" si="0"/>
        <v>OK</v>
      </c>
      <c r="G48" t="s">
        <v>460</v>
      </c>
      <c r="H48" s="5"/>
      <c r="I48" s="5"/>
      <c r="J48" s="5"/>
    </row>
    <row r="49" spans="1:7" x14ac:dyDescent="0.35">
      <c r="A49">
        <v>13</v>
      </c>
      <c r="B49">
        <v>32.69</v>
      </c>
      <c r="C49">
        <v>26</v>
      </c>
      <c r="D49" s="1">
        <v>32.72</v>
      </c>
      <c r="E49" t="str">
        <f t="shared" si="0"/>
        <v>OK</v>
      </c>
      <c r="G49" t="s">
        <v>461</v>
      </c>
    </row>
    <row r="50" spans="1:7" x14ac:dyDescent="0.35">
      <c r="A50">
        <v>13</v>
      </c>
      <c r="B50">
        <v>32.72</v>
      </c>
      <c r="C50">
        <v>14</v>
      </c>
      <c r="D50" s="1">
        <v>32.799999999999997</v>
      </c>
      <c r="E50" t="str">
        <f t="shared" si="0"/>
        <v>OK</v>
      </c>
      <c r="G50" t="s">
        <v>508</v>
      </c>
    </row>
    <row r="51" spans="1:7" x14ac:dyDescent="0.35">
      <c r="A51">
        <v>13</v>
      </c>
      <c r="B51">
        <v>33.57</v>
      </c>
      <c r="C51">
        <v>14</v>
      </c>
      <c r="D51" s="1">
        <v>33.619999999999997</v>
      </c>
      <c r="E51" t="str">
        <f t="shared" si="0"/>
        <v>OK</v>
      </c>
      <c r="G51" t="s">
        <v>509</v>
      </c>
    </row>
    <row r="52" spans="1:7" x14ac:dyDescent="0.35">
      <c r="A52">
        <v>13</v>
      </c>
      <c r="B52">
        <v>44.831000000000003</v>
      </c>
      <c r="C52">
        <v>14</v>
      </c>
      <c r="D52" s="1">
        <v>44.91</v>
      </c>
      <c r="E52" t="str">
        <f t="shared" si="0"/>
        <v>OK</v>
      </c>
      <c r="G52" t="s">
        <v>510</v>
      </c>
    </row>
    <row r="53" spans="1:7" x14ac:dyDescent="0.35">
      <c r="A53">
        <v>13</v>
      </c>
      <c r="B53">
        <v>45.27</v>
      </c>
      <c r="C53">
        <v>19</v>
      </c>
      <c r="D53" s="1">
        <v>45.36</v>
      </c>
      <c r="E53" t="str">
        <f t="shared" si="0"/>
        <v>OK</v>
      </c>
      <c r="G53" t="s">
        <v>511</v>
      </c>
    </row>
    <row r="54" spans="1:7" x14ac:dyDescent="0.35">
      <c r="A54">
        <v>13</v>
      </c>
      <c r="B54">
        <v>46.28</v>
      </c>
      <c r="C54">
        <v>14</v>
      </c>
      <c r="D54" s="1">
        <v>46.36</v>
      </c>
      <c r="E54" t="str">
        <f t="shared" si="0"/>
        <v>OK</v>
      </c>
      <c r="G54" t="s">
        <v>512</v>
      </c>
    </row>
    <row r="55" spans="1:7" x14ac:dyDescent="0.35">
      <c r="A55">
        <v>13</v>
      </c>
      <c r="B55">
        <v>65.488</v>
      </c>
      <c r="C55">
        <v>14</v>
      </c>
      <c r="D55" s="1">
        <v>65.545000000000002</v>
      </c>
      <c r="E55" t="str">
        <f t="shared" si="0"/>
        <v>OK</v>
      </c>
      <c r="G55" t="s">
        <v>513</v>
      </c>
    </row>
    <row r="56" spans="1:7" x14ac:dyDescent="0.35">
      <c r="A56">
        <v>13</v>
      </c>
      <c r="B56">
        <v>65.545000000000002</v>
      </c>
      <c r="C56">
        <v>27</v>
      </c>
      <c r="D56">
        <v>65.614999999999995</v>
      </c>
      <c r="E56" t="str">
        <f t="shared" si="0"/>
        <v>OK</v>
      </c>
      <c r="G56" t="s">
        <v>514</v>
      </c>
    </row>
    <row r="57" spans="1:7" x14ac:dyDescent="0.35">
      <c r="A57">
        <v>13</v>
      </c>
      <c r="B57">
        <v>66.305000000000007</v>
      </c>
      <c r="C57">
        <v>14</v>
      </c>
      <c r="D57" s="1">
        <v>66.41</v>
      </c>
      <c r="E57" t="str">
        <f t="shared" si="0"/>
        <v>OK</v>
      </c>
      <c r="G57" t="s">
        <v>515</v>
      </c>
    </row>
    <row r="58" spans="1:7" x14ac:dyDescent="0.35">
      <c r="A58">
        <v>13</v>
      </c>
      <c r="B58">
        <v>70.765000000000001</v>
      </c>
      <c r="C58">
        <v>36</v>
      </c>
      <c r="D58">
        <v>70.828999999999994</v>
      </c>
      <c r="E58" t="str">
        <f t="shared" si="0"/>
        <v>OK</v>
      </c>
      <c r="G58" t="s">
        <v>516</v>
      </c>
    </row>
    <row r="59" spans="1:7" x14ac:dyDescent="0.35">
      <c r="A59">
        <v>13</v>
      </c>
      <c r="B59">
        <v>71.52</v>
      </c>
      <c r="C59">
        <v>14</v>
      </c>
      <c r="D59">
        <v>71.600999999999999</v>
      </c>
      <c r="E59" t="str">
        <f t="shared" si="0"/>
        <v>OK</v>
      </c>
      <c r="G59" t="s">
        <v>517</v>
      </c>
    </row>
    <row r="60" spans="1:7" x14ac:dyDescent="0.35">
      <c r="A60">
        <v>14</v>
      </c>
      <c r="B60">
        <v>32.344999999999999</v>
      </c>
      <c r="C60">
        <v>13</v>
      </c>
      <c r="D60">
        <v>32.423000000000002</v>
      </c>
      <c r="E60" t="str">
        <f t="shared" si="0"/>
        <v>OK</v>
      </c>
      <c r="G60" t="s">
        <v>462</v>
      </c>
    </row>
    <row r="61" spans="1:7" x14ac:dyDescent="0.35">
      <c r="A61">
        <v>14</v>
      </c>
      <c r="B61">
        <v>32.479999999999997</v>
      </c>
      <c r="C61">
        <v>13</v>
      </c>
      <c r="D61">
        <v>32.56</v>
      </c>
      <c r="E61" t="str">
        <f t="shared" si="0"/>
        <v>OK</v>
      </c>
      <c r="G61" t="s">
        <v>463</v>
      </c>
    </row>
    <row r="62" spans="1:7" x14ac:dyDescent="0.35">
      <c r="A62">
        <v>14</v>
      </c>
      <c r="B62">
        <v>33.65</v>
      </c>
      <c r="C62">
        <v>16</v>
      </c>
      <c r="D62" s="1">
        <v>33.700000000000003</v>
      </c>
      <c r="E62" t="str">
        <f t="shared" si="0"/>
        <v>OK</v>
      </c>
      <c r="G62" t="s">
        <v>464</v>
      </c>
    </row>
    <row r="63" spans="1:7" x14ac:dyDescent="0.35">
      <c r="A63">
        <v>14</v>
      </c>
      <c r="B63">
        <v>33.72</v>
      </c>
      <c r="C63">
        <v>13</v>
      </c>
      <c r="D63" s="1">
        <v>33.799999999999997</v>
      </c>
      <c r="E63" t="str">
        <f t="shared" si="0"/>
        <v>OK</v>
      </c>
      <c r="G63" t="s">
        <v>518</v>
      </c>
    </row>
    <row r="64" spans="1:7" x14ac:dyDescent="0.35">
      <c r="A64">
        <v>14</v>
      </c>
      <c r="B64">
        <v>44.91</v>
      </c>
      <c r="C64">
        <v>20</v>
      </c>
      <c r="D64">
        <v>44.96</v>
      </c>
      <c r="E64" t="str">
        <f t="shared" si="0"/>
        <v>OK</v>
      </c>
      <c r="G64" t="s">
        <v>465</v>
      </c>
    </row>
    <row r="65" spans="1:10" x14ac:dyDescent="0.35">
      <c r="A65">
        <v>14</v>
      </c>
      <c r="B65">
        <v>44.96</v>
      </c>
      <c r="C65">
        <v>13</v>
      </c>
      <c r="D65" s="1">
        <v>45.04</v>
      </c>
      <c r="E65" t="str">
        <f t="shared" si="0"/>
        <v>OK</v>
      </c>
      <c r="G65" t="s">
        <v>519</v>
      </c>
    </row>
    <row r="66" spans="1:10" x14ac:dyDescent="0.35">
      <c r="A66">
        <v>14</v>
      </c>
      <c r="B66">
        <v>45.95</v>
      </c>
      <c r="C66">
        <v>21</v>
      </c>
      <c r="D66">
        <v>46.052</v>
      </c>
      <c r="E66" t="str">
        <f t="shared" si="0"/>
        <v>OK</v>
      </c>
      <c r="G66" t="s">
        <v>466</v>
      </c>
    </row>
    <row r="67" spans="1:10" x14ac:dyDescent="0.35">
      <c r="A67">
        <v>14</v>
      </c>
      <c r="B67">
        <v>46.097000000000001</v>
      </c>
      <c r="C67">
        <v>22</v>
      </c>
      <c r="D67">
        <v>46.218000000000004</v>
      </c>
      <c r="E67" t="str">
        <f t="shared" ref="E67:E109" si="1">IF(D67&gt;B67,"OK","Check")</f>
        <v>OK</v>
      </c>
      <c r="G67" t="s">
        <v>467</v>
      </c>
    </row>
    <row r="68" spans="1:10" x14ac:dyDescent="0.35">
      <c r="A68">
        <v>14</v>
      </c>
      <c r="B68">
        <v>46.36</v>
      </c>
      <c r="C68">
        <v>13</v>
      </c>
      <c r="D68" s="1">
        <v>46.444000000000003</v>
      </c>
      <c r="E68" t="str">
        <f t="shared" si="1"/>
        <v>OK</v>
      </c>
      <c r="G68" t="s">
        <v>520</v>
      </c>
    </row>
    <row r="69" spans="1:10" x14ac:dyDescent="0.35">
      <c r="A69">
        <v>14</v>
      </c>
      <c r="B69">
        <v>65.316999999999993</v>
      </c>
      <c r="C69">
        <v>13</v>
      </c>
      <c r="D69" s="1">
        <v>65.394999999999996</v>
      </c>
      <c r="E69" t="str">
        <f t="shared" si="1"/>
        <v>OK</v>
      </c>
      <c r="G69" t="s">
        <v>544</v>
      </c>
    </row>
    <row r="70" spans="1:10" x14ac:dyDescent="0.35">
      <c r="A70">
        <v>14</v>
      </c>
      <c r="B70">
        <v>65.545000000000002</v>
      </c>
      <c r="C70">
        <v>28</v>
      </c>
      <c r="D70">
        <v>65.614999999999995</v>
      </c>
      <c r="E70" t="str">
        <f t="shared" si="1"/>
        <v>OK</v>
      </c>
      <c r="G70" t="s">
        <v>468</v>
      </c>
    </row>
    <row r="71" spans="1:10" x14ac:dyDescent="0.35">
      <c r="A71">
        <v>14</v>
      </c>
      <c r="B71">
        <v>66.465000000000003</v>
      </c>
      <c r="C71">
        <v>13</v>
      </c>
      <c r="D71">
        <v>66.545000000000002</v>
      </c>
      <c r="E71" t="str">
        <f t="shared" si="1"/>
        <v>OK</v>
      </c>
      <c r="G71" t="s">
        <v>521</v>
      </c>
    </row>
    <row r="72" spans="1:10" x14ac:dyDescent="0.35">
      <c r="A72">
        <v>14</v>
      </c>
      <c r="B72">
        <v>71.751000000000005</v>
      </c>
      <c r="C72">
        <v>37</v>
      </c>
      <c r="D72">
        <v>71.823999999999998</v>
      </c>
      <c r="E72" t="str">
        <f t="shared" si="1"/>
        <v>OK</v>
      </c>
      <c r="G72" t="s">
        <v>469</v>
      </c>
    </row>
    <row r="73" spans="1:10" x14ac:dyDescent="0.35">
      <c r="A73">
        <v>14</v>
      </c>
      <c r="B73">
        <v>71.936000000000007</v>
      </c>
      <c r="C73">
        <v>13</v>
      </c>
      <c r="D73">
        <v>71.998000000000005</v>
      </c>
      <c r="E73" t="str">
        <f t="shared" si="1"/>
        <v>OK</v>
      </c>
      <c r="G73" t="s">
        <v>522</v>
      </c>
    </row>
    <row r="74" spans="1:10" x14ac:dyDescent="0.35">
      <c r="A74">
        <v>14</v>
      </c>
      <c r="B74">
        <v>78.414000000000001</v>
      </c>
      <c r="C74">
        <v>13</v>
      </c>
      <c r="D74">
        <v>78.489000000000004</v>
      </c>
      <c r="E74" t="str">
        <f t="shared" si="1"/>
        <v>OK</v>
      </c>
      <c r="G74" t="s">
        <v>523</v>
      </c>
    </row>
    <row r="75" spans="1:10" x14ac:dyDescent="0.35">
      <c r="A75">
        <v>15</v>
      </c>
      <c r="B75">
        <v>29.47</v>
      </c>
      <c r="C75">
        <v>1</v>
      </c>
      <c r="D75" s="1">
        <v>29.58</v>
      </c>
      <c r="E75" t="str">
        <f t="shared" si="1"/>
        <v>OK</v>
      </c>
      <c r="G75" t="s">
        <v>537</v>
      </c>
    </row>
    <row r="76" spans="1:10" x14ac:dyDescent="0.35">
      <c r="A76">
        <v>16</v>
      </c>
      <c r="B76">
        <v>32.72</v>
      </c>
      <c r="C76">
        <v>17</v>
      </c>
      <c r="D76" s="1">
        <v>32.83</v>
      </c>
      <c r="E76" t="str">
        <f t="shared" si="1"/>
        <v>OK</v>
      </c>
      <c r="G76" t="s">
        <v>470</v>
      </c>
    </row>
    <row r="77" spans="1:10" x14ac:dyDescent="0.35">
      <c r="A77">
        <v>16</v>
      </c>
      <c r="B77">
        <v>33.65</v>
      </c>
      <c r="C77">
        <v>14</v>
      </c>
      <c r="D77" s="1">
        <v>33.700000000000003</v>
      </c>
      <c r="E77" t="str">
        <f t="shared" si="1"/>
        <v>OK</v>
      </c>
      <c r="G77" t="s">
        <v>471</v>
      </c>
    </row>
    <row r="78" spans="1:10" x14ac:dyDescent="0.35">
      <c r="A78">
        <v>17</v>
      </c>
      <c r="B78">
        <v>33.619999999999997</v>
      </c>
      <c r="C78">
        <v>16</v>
      </c>
      <c r="D78" s="1">
        <v>33.65</v>
      </c>
      <c r="E78" t="str">
        <f t="shared" si="1"/>
        <v>OK</v>
      </c>
      <c r="G78" t="s">
        <v>472</v>
      </c>
    </row>
    <row r="79" spans="1:10" x14ac:dyDescent="0.35">
      <c r="A79">
        <v>18</v>
      </c>
      <c r="B79">
        <v>33.341000000000001</v>
      </c>
      <c r="C79">
        <v>17</v>
      </c>
      <c r="D79" s="1">
        <v>33.457999999999998</v>
      </c>
      <c r="E79" t="str">
        <f t="shared" si="1"/>
        <v>OK</v>
      </c>
      <c r="G79" t="s">
        <v>473</v>
      </c>
      <c r="H79" s="5"/>
      <c r="I79" s="5"/>
      <c r="J79" s="5"/>
    </row>
    <row r="80" spans="1:10" x14ac:dyDescent="0.35">
      <c r="A80">
        <v>19</v>
      </c>
      <c r="B80">
        <v>46.100999999999999</v>
      </c>
      <c r="C80">
        <v>13</v>
      </c>
      <c r="D80" s="1">
        <v>46.218000000000004</v>
      </c>
      <c r="E80" t="str">
        <f t="shared" si="1"/>
        <v>OK</v>
      </c>
      <c r="G80" t="s">
        <v>524</v>
      </c>
    </row>
    <row r="81" spans="1:7" x14ac:dyDescent="0.35">
      <c r="A81">
        <v>20</v>
      </c>
      <c r="B81">
        <v>45.83</v>
      </c>
      <c r="C81">
        <v>14</v>
      </c>
      <c r="D81">
        <v>45.9</v>
      </c>
      <c r="E81" t="str">
        <f t="shared" si="1"/>
        <v>OK</v>
      </c>
      <c r="G81" t="s">
        <v>474</v>
      </c>
    </row>
    <row r="82" spans="1:7" x14ac:dyDescent="0.35">
      <c r="A82">
        <v>21</v>
      </c>
      <c r="B82">
        <v>46.052</v>
      </c>
      <c r="C82">
        <v>14</v>
      </c>
      <c r="D82">
        <v>46.097000000000001</v>
      </c>
      <c r="E82" t="str">
        <f t="shared" si="1"/>
        <v>OK</v>
      </c>
      <c r="G82" t="s">
        <v>475</v>
      </c>
    </row>
    <row r="83" spans="1:7" x14ac:dyDescent="0.35">
      <c r="A83">
        <v>22</v>
      </c>
      <c r="B83">
        <v>46.218000000000004</v>
      </c>
      <c r="C83">
        <v>14</v>
      </c>
      <c r="D83">
        <v>46.28</v>
      </c>
      <c r="E83" t="str">
        <f t="shared" si="1"/>
        <v>OK</v>
      </c>
      <c r="G83" t="s">
        <v>476</v>
      </c>
    </row>
    <row r="84" spans="1:7" x14ac:dyDescent="0.35">
      <c r="A84">
        <v>23</v>
      </c>
      <c r="B84">
        <v>32.484000000000002</v>
      </c>
      <c r="C84">
        <v>1</v>
      </c>
      <c r="D84">
        <v>32.713999999999999</v>
      </c>
      <c r="E84" t="str">
        <f t="shared" si="1"/>
        <v>OK</v>
      </c>
      <c r="G84" t="s">
        <v>539</v>
      </c>
    </row>
    <row r="85" spans="1:7" x14ac:dyDescent="0.35">
      <c r="A85">
        <v>23</v>
      </c>
      <c r="B85">
        <v>32.65</v>
      </c>
      <c r="C85">
        <v>24</v>
      </c>
      <c r="D85">
        <v>32.68</v>
      </c>
      <c r="E85" t="str">
        <f t="shared" si="1"/>
        <v>OK</v>
      </c>
      <c r="G85" t="s">
        <v>477</v>
      </c>
    </row>
    <row r="86" spans="1:7" x14ac:dyDescent="0.35">
      <c r="A86">
        <v>24</v>
      </c>
      <c r="B86">
        <v>32.68</v>
      </c>
      <c r="C86">
        <v>25</v>
      </c>
      <c r="D86">
        <v>32.72</v>
      </c>
      <c r="E86" t="str">
        <f t="shared" si="1"/>
        <v>OK</v>
      </c>
      <c r="G86" t="s">
        <v>478</v>
      </c>
    </row>
    <row r="87" spans="1:7" x14ac:dyDescent="0.35">
      <c r="A87">
        <v>25</v>
      </c>
      <c r="B87">
        <v>32.72</v>
      </c>
      <c r="C87">
        <v>26</v>
      </c>
      <c r="D87">
        <v>32.770000000000003</v>
      </c>
      <c r="E87" t="str">
        <f t="shared" si="1"/>
        <v>OK</v>
      </c>
      <c r="G87" t="s">
        <v>479</v>
      </c>
    </row>
    <row r="88" spans="1:7" x14ac:dyDescent="0.35">
      <c r="A88">
        <v>25</v>
      </c>
      <c r="B88">
        <v>33.317999999999998</v>
      </c>
      <c r="C88">
        <v>26</v>
      </c>
      <c r="D88">
        <v>33.479999999999997</v>
      </c>
      <c r="E88" t="str">
        <f t="shared" si="1"/>
        <v>OK</v>
      </c>
      <c r="G88" t="s">
        <v>480</v>
      </c>
    </row>
    <row r="89" spans="1:7" x14ac:dyDescent="0.35">
      <c r="A89">
        <v>26</v>
      </c>
      <c r="B89">
        <v>33.479999999999997</v>
      </c>
      <c r="C89">
        <v>13</v>
      </c>
      <c r="D89" s="1">
        <v>33.56</v>
      </c>
      <c r="E89" t="str">
        <f t="shared" si="1"/>
        <v>OK</v>
      </c>
      <c r="G89" t="s">
        <v>525</v>
      </c>
    </row>
    <row r="90" spans="1:7" x14ac:dyDescent="0.35">
      <c r="A90">
        <v>27</v>
      </c>
      <c r="B90">
        <v>65.313000000000002</v>
      </c>
      <c r="C90">
        <v>13</v>
      </c>
      <c r="D90">
        <v>65.488</v>
      </c>
      <c r="E90" t="str">
        <f t="shared" si="1"/>
        <v>OK</v>
      </c>
      <c r="G90" t="s">
        <v>526</v>
      </c>
    </row>
    <row r="91" spans="1:7" x14ac:dyDescent="0.35">
      <c r="A91">
        <v>27</v>
      </c>
      <c r="B91">
        <v>65.614999999999995</v>
      </c>
      <c r="C91">
        <v>13</v>
      </c>
      <c r="D91">
        <v>65.674999999999997</v>
      </c>
      <c r="E91" t="str">
        <f t="shared" si="1"/>
        <v>OK</v>
      </c>
      <c r="G91" t="s">
        <v>527</v>
      </c>
    </row>
    <row r="92" spans="1:7" x14ac:dyDescent="0.35">
      <c r="A92">
        <v>27</v>
      </c>
      <c r="B92">
        <v>66.138999999999996</v>
      </c>
      <c r="C92">
        <v>13</v>
      </c>
      <c r="D92">
        <v>66.305000000000007</v>
      </c>
      <c r="E92" t="str">
        <f t="shared" si="1"/>
        <v>OK</v>
      </c>
      <c r="G92" t="s">
        <v>528</v>
      </c>
    </row>
    <row r="93" spans="1:7" x14ac:dyDescent="0.35">
      <c r="A93">
        <v>28</v>
      </c>
      <c r="B93">
        <v>65.614999999999995</v>
      </c>
      <c r="C93">
        <v>31</v>
      </c>
      <c r="D93">
        <v>65.724999999999994</v>
      </c>
      <c r="E93" t="str">
        <f t="shared" si="1"/>
        <v>OK</v>
      </c>
      <c r="G93" t="s">
        <v>481</v>
      </c>
    </row>
    <row r="94" spans="1:7" x14ac:dyDescent="0.35">
      <c r="A94">
        <v>28</v>
      </c>
      <c r="B94">
        <v>65.644999999999996</v>
      </c>
      <c r="C94">
        <v>29</v>
      </c>
      <c r="D94">
        <v>65.724999999999994</v>
      </c>
      <c r="E94" t="str">
        <f t="shared" si="1"/>
        <v>OK</v>
      </c>
      <c r="G94" t="s">
        <v>482</v>
      </c>
    </row>
    <row r="95" spans="1:7" x14ac:dyDescent="0.35">
      <c r="A95">
        <v>28</v>
      </c>
      <c r="B95">
        <v>66.41</v>
      </c>
      <c r="C95">
        <v>14</v>
      </c>
      <c r="D95">
        <v>66.465000000000003</v>
      </c>
      <c r="E95" t="str">
        <f t="shared" si="1"/>
        <v>OK</v>
      </c>
      <c r="G95" t="s">
        <v>483</v>
      </c>
    </row>
    <row r="96" spans="1:7" x14ac:dyDescent="0.35">
      <c r="A96">
        <v>29</v>
      </c>
      <c r="B96">
        <v>66.37</v>
      </c>
      <c r="C96">
        <v>28</v>
      </c>
      <c r="D96">
        <v>66.41</v>
      </c>
      <c r="E96" t="str">
        <f t="shared" si="1"/>
        <v>OK</v>
      </c>
      <c r="G96" t="s">
        <v>484</v>
      </c>
    </row>
    <row r="97" spans="1:7" x14ac:dyDescent="0.35">
      <c r="A97">
        <v>30</v>
      </c>
      <c r="B97">
        <v>66.210999999999999</v>
      </c>
      <c r="C97">
        <v>32</v>
      </c>
      <c r="D97">
        <v>66.224999999999994</v>
      </c>
      <c r="E97" t="str">
        <f t="shared" si="1"/>
        <v>OK</v>
      </c>
      <c r="G97" t="s">
        <v>485</v>
      </c>
    </row>
    <row r="98" spans="1:7" x14ac:dyDescent="0.35">
      <c r="A98">
        <v>31</v>
      </c>
      <c r="B98">
        <v>65.724999999999994</v>
      </c>
      <c r="C98">
        <v>32</v>
      </c>
      <c r="D98">
        <v>65.738</v>
      </c>
      <c r="E98" t="str">
        <f t="shared" si="1"/>
        <v>OK</v>
      </c>
      <c r="G98" t="s">
        <v>486</v>
      </c>
    </row>
    <row r="99" spans="1:7" x14ac:dyDescent="0.35">
      <c r="A99">
        <v>31</v>
      </c>
      <c r="B99">
        <v>65.738</v>
      </c>
      <c r="C99">
        <v>30</v>
      </c>
      <c r="D99">
        <v>65.78</v>
      </c>
      <c r="E99" t="str">
        <f t="shared" si="1"/>
        <v>OK</v>
      </c>
      <c r="G99" t="s">
        <v>487</v>
      </c>
    </row>
    <row r="100" spans="1:7" x14ac:dyDescent="0.35">
      <c r="A100">
        <v>31</v>
      </c>
      <c r="B100">
        <v>66.210999999999999</v>
      </c>
      <c r="C100">
        <v>32</v>
      </c>
      <c r="D100">
        <v>66.260999999999996</v>
      </c>
      <c r="E100" t="str">
        <f t="shared" si="1"/>
        <v>OK</v>
      </c>
      <c r="G100" t="s">
        <v>488</v>
      </c>
    </row>
    <row r="101" spans="1:7" x14ac:dyDescent="0.35">
      <c r="A101">
        <v>32</v>
      </c>
      <c r="B101">
        <v>65.738</v>
      </c>
      <c r="C101">
        <v>33</v>
      </c>
      <c r="D101">
        <v>65.78</v>
      </c>
      <c r="E101" t="str">
        <f t="shared" si="1"/>
        <v>OK</v>
      </c>
      <c r="G101" t="s">
        <v>489</v>
      </c>
    </row>
    <row r="102" spans="1:7" x14ac:dyDescent="0.35">
      <c r="A102">
        <v>32</v>
      </c>
      <c r="B102">
        <v>66.346999999999994</v>
      </c>
      <c r="C102">
        <v>29</v>
      </c>
      <c r="D102">
        <v>66.37</v>
      </c>
      <c r="E102" t="str">
        <f t="shared" si="1"/>
        <v>OK</v>
      </c>
      <c r="G102" t="s">
        <v>490</v>
      </c>
    </row>
    <row r="103" spans="1:7" x14ac:dyDescent="0.35">
      <c r="A103">
        <v>33</v>
      </c>
      <c r="B103">
        <v>65.78</v>
      </c>
      <c r="C103">
        <v>34</v>
      </c>
      <c r="D103">
        <v>65.796999999999997</v>
      </c>
      <c r="E103" t="str">
        <f t="shared" si="1"/>
        <v>OK</v>
      </c>
      <c r="G103" t="s">
        <v>491</v>
      </c>
    </row>
    <row r="104" spans="1:7" x14ac:dyDescent="0.35">
      <c r="A104">
        <v>33</v>
      </c>
      <c r="B104">
        <v>66.27</v>
      </c>
      <c r="C104">
        <v>32</v>
      </c>
      <c r="D104">
        <v>66.346999999999994</v>
      </c>
      <c r="E104" t="str">
        <f t="shared" si="1"/>
        <v>OK</v>
      </c>
      <c r="G104" t="s">
        <v>492</v>
      </c>
    </row>
    <row r="105" spans="1:7" x14ac:dyDescent="0.35">
      <c r="A105">
        <v>34</v>
      </c>
      <c r="B105">
        <v>66.260999999999996</v>
      </c>
      <c r="C105">
        <v>33</v>
      </c>
      <c r="D105">
        <v>66.27</v>
      </c>
      <c r="E105" t="str">
        <f t="shared" si="1"/>
        <v>OK</v>
      </c>
      <c r="G105" t="s">
        <v>493</v>
      </c>
    </row>
    <row r="106" spans="1:7" x14ac:dyDescent="0.35">
      <c r="A106">
        <v>35</v>
      </c>
      <c r="B106">
        <v>71.418999999999997</v>
      </c>
      <c r="C106">
        <v>36</v>
      </c>
      <c r="D106">
        <v>71.456999999999994</v>
      </c>
      <c r="E106" t="str">
        <f t="shared" si="1"/>
        <v>OK</v>
      </c>
      <c r="G106" t="s">
        <v>494</v>
      </c>
    </row>
    <row r="107" spans="1:7" x14ac:dyDescent="0.35">
      <c r="A107">
        <v>36</v>
      </c>
      <c r="B107">
        <v>70.828999999999994</v>
      </c>
      <c r="C107">
        <v>35</v>
      </c>
      <c r="D107" s="1">
        <v>70.846999999999994</v>
      </c>
      <c r="E107" t="str">
        <f t="shared" si="1"/>
        <v>OK</v>
      </c>
      <c r="G107" t="s">
        <v>495</v>
      </c>
    </row>
    <row r="108" spans="1:7" x14ac:dyDescent="0.35">
      <c r="A108">
        <v>36</v>
      </c>
      <c r="B108">
        <v>71.456999999999994</v>
      </c>
      <c r="C108">
        <v>13</v>
      </c>
      <c r="D108">
        <v>71.52</v>
      </c>
      <c r="E108" t="str">
        <f t="shared" si="1"/>
        <v>OK</v>
      </c>
      <c r="G108" t="s">
        <v>529</v>
      </c>
    </row>
    <row r="109" spans="1:7" x14ac:dyDescent="0.35">
      <c r="A109">
        <v>37</v>
      </c>
      <c r="B109">
        <v>71.998000000000005</v>
      </c>
      <c r="C109">
        <v>14</v>
      </c>
      <c r="D109">
        <v>72.468999999999994</v>
      </c>
      <c r="E109" t="str">
        <f t="shared" si="1"/>
        <v>OK</v>
      </c>
      <c r="G109" t="s">
        <v>496</v>
      </c>
    </row>
  </sheetData>
  <autoFilter ref="A1:D108" xr:uid="{6608E8E3-1514-45A1-8656-7441FFD9E349}">
    <sortState xmlns:xlrd2="http://schemas.microsoft.com/office/spreadsheetml/2017/richdata2" ref="A2:D108">
      <sortCondition ref="A1:A108"/>
    </sortState>
  </autoFilter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FEC7-3766-41BA-8772-0BE857C5A11B}">
  <dimension ref="A1:J422"/>
  <sheetViews>
    <sheetView tabSelected="1" topLeftCell="A66" zoomScale="85" zoomScaleNormal="85" workbookViewId="0">
      <selection activeCell="C230" sqref="C230"/>
    </sheetView>
  </sheetViews>
  <sheetFormatPr defaultRowHeight="14.5" x14ac:dyDescent="0.35"/>
  <cols>
    <col min="1" max="1" width="51.6328125" bestFit="1" customWidth="1"/>
    <col min="9" max="9" width="64.453125" customWidth="1"/>
  </cols>
  <sheetData>
    <row r="1" spans="1:10" ht="15" thickBot="1" x14ac:dyDescent="0.4">
      <c r="A1" t="s">
        <v>118</v>
      </c>
      <c r="B1" t="s">
        <v>119</v>
      </c>
      <c r="C1" t="s">
        <v>120</v>
      </c>
    </row>
    <row r="2" spans="1:10" ht="15" thickBot="1" x14ac:dyDescent="0.4">
      <c r="A2" t="s">
        <v>121</v>
      </c>
      <c r="B2">
        <v>9.6359999999999992</v>
      </c>
      <c r="C2">
        <v>10.987</v>
      </c>
      <c r="G2" s="7"/>
      <c r="H2" s="8" t="s">
        <v>564</v>
      </c>
      <c r="I2" s="8" t="s">
        <v>565</v>
      </c>
      <c r="J2" s="8" t="s">
        <v>566</v>
      </c>
    </row>
    <row r="3" spans="1:10" ht="29.5" thickBot="1" x14ac:dyDescent="0.4">
      <c r="A3" t="s">
        <v>122</v>
      </c>
      <c r="B3">
        <v>10.987</v>
      </c>
      <c r="C3">
        <v>12.542999999999999</v>
      </c>
      <c r="G3" s="9" t="s">
        <v>567</v>
      </c>
      <c r="H3" s="10" t="s">
        <v>568</v>
      </c>
      <c r="I3" s="10" t="s">
        <v>569</v>
      </c>
      <c r="J3" s="10" t="s">
        <v>570</v>
      </c>
    </row>
    <row r="4" spans="1:10" ht="29.5" thickBot="1" x14ac:dyDescent="0.4">
      <c r="A4" t="s">
        <v>123</v>
      </c>
      <c r="B4">
        <v>12.542999999999999</v>
      </c>
      <c r="C4">
        <v>14.081</v>
      </c>
      <c r="G4" s="9" t="s">
        <v>567</v>
      </c>
      <c r="H4" s="10" t="s">
        <v>571</v>
      </c>
      <c r="I4" s="10" t="s">
        <v>572</v>
      </c>
      <c r="J4" s="10" t="s">
        <v>570</v>
      </c>
    </row>
    <row r="5" spans="1:10" ht="29.5" thickBot="1" x14ac:dyDescent="0.4">
      <c r="A5" t="s">
        <v>124</v>
      </c>
      <c r="B5">
        <v>14.081</v>
      </c>
      <c r="C5">
        <v>15.506</v>
      </c>
      <c r="G5" s="9" t="s">
        <v>567</v>
      </c>
      <c r="H5" s="10" t="s">
        <v>573</v>
      </c>
      <c r="I5" s="10" t="s">
        <v>574</v>
      </c>
      <c r="J5" s="10" t="s">
        <v>570</v>
      </c>
    </row>
    <row r="6" spans="1:10" ht="29.5" thickBot="1" x14ac:dyDescent="0.4">
      <c r="A6" t="s">
        <v>125</v>
      </c>
      <c r="B6">
        <v>15.506</v>
      </c>
      <c r="C6">
        <v>17.010000000000002</v>
      </c>
      <c r="G6" s="9" t="s">
        <v>567</v>
      </c>
      <c r="H6" s="10" t="s">
        <v>575</v>
      </c>
      <c r="I6" s="10" t="s">
        <v>576</v>
      </c>
      <c r="J6" s="10" t="s">
        <v>570</v>
      </c>
    </row>
    <row r="7" spans="1:10" ht="29.5" thickBot="1" x14ac:dyDescent="0.4">
      <c r="A7" t="s">
        <v>126</v>
      </c>
      <c r="B7">
        <v>17.010000000000002</v>
      </c>
      <c r="C7">
        <v>18.823</v>
      </c>
      <c r="G7" s="9" t="s">
        <v>567</v>
      </c>
      <c r="H7" s="10" t="s">
        <v>577</v>
      </c>
      <c r="I7" s="10" t="s">
        <v>578</v>
      </c>
      <c r="J7" s="10" t="s">
        <v>570</v>
      </c>
    </row>
    <row r="8" spans="1:10" ht="29.5" thickBot="1" x14ac:dyDescent="0.4">
      <c r="A8" t="s">
        <v>127</v>
      </c>
      <c r="B8">
        <v>18.823</v>
      </c>
      <c r="C8">
        <v>20.353999999999999</v>
      </c>
      <c r="G8" s="9" t="s">
        <v>567</v>
      </c>
      <c r="H8" s="10" t="s">
        <v>579</v>
      </c>
      <c r="I8" s="10" t="s">
        <v>580</v>
      </c>
      <c r="J8" s="10" t="s">
        <v>570</v>
      </c>
    </row>
    <row r="9" spans="1:10" ht="29.5" thickBot="1" x14ac:dyDescent="0.4">
      <c r="A9" t="s">
        <v>128</v>
      </c>
      <c r="B9">
        <v>20.353999999999999</v>
      </c>
      <c r="C9">
        <v>21.914000000000001</v>
      </c>
      <c r="G9" s="9" t="s">
        <v>567</v>
      </c>
      <c r="H9" s="10" t="s">
        <v>581</v>
      </c>
      <c r="I9" s="10" t="s">
        <v>582</v>
      </c>
      <c r="J9" s="10" t="s">
        <v>570</v>
      </c>
    </row>
    <row r="10" spans="1:10" ht="29.5" thickBot="1" x14ac:dyDescent="0.4">
      <c r="A10" t="s">
        <v>129</v>
      </c>
      <c r="B10">
        <v>21.914000000000001</v>
      </c>
      <c r="C10">
        <v>22.946000000000002</v>
      </c>
      <c r="G10" s="9" t="s">
        <v>567</v>
      </c>
      <c r="H10" s="10" t="s">
        <v>583</v>
      </c>
      <c r="I10" s="10" t="s">
        <v>584</v>
      </c>
      <c r="J10" s="10" t="s">
        <v>570</v>
      </c>
    </row>
    <row r="11" spans="1:10" ht="29.5" thickBot="1" x14ac:dyDescent="0.4">
      <c r="A11" t="s">
        <v>130</v>
      </c>
      <c r="B11">
        <v>22.946000000000002</v>
      </c>
      <c r="C11">
        <v>24.305</v>
      </c>
      <c r="G11" s="9" t="s">
        <v>567</v>
      </c>
      <c r="H11" s="10" t="s">
        <v>585</v>
      </c>
      <c r="I11" s="10" t="s">
        <v>586</v>
      </c>
      <c r="J11" s="10" t="s">
        <v>570</v>
      </c>
    </row>
    <row r="12" spans="1:10" ht="29.5" thickBot="1" x14ac:dyDescent="0.4">
      <c r="A12" t="s">
        <v>131</v>
      </c>
      <c r="B12">
        <v>24.305</v>
      </c>
      <c r="C12">
        <v>25.32</v>
      </c>
      <c r="G12" s="9" t="s">
        <v>567</v>
      </c>
      <c r="H12" s="10" t="s">
        <v>587</v>
      </c>
      <c r="I12" s="10" t="s">
        <v>588</v>
      </c>
      <c r="J12" s="10" t="s">
        <v>570</v>
      </c>
    </row>
    <row r="13" spans="1:10" ht="29.5" thickBot="1" x14ac:dyDescent="0.4">
      <c r="A13" t="s">
        <v>132</v>
      </c>
      <c r="B13">
        <v>25.32</v>
      </c>
      <c r="C13">
        <v>27.154</v>
      </c>
      <c r="G13" s="9" t="s">
        <v>567</v>
      </c>
      <c r="H13" s="10" t="s">
        <v>589</v>
      </c>
      <c r="I13" s="10" t="s">
        <v>590</v>
      </c>
      <c r="J13" s="10" t="s">
        <v>570</v>
      </c>
    </row>
    <row r="14" spans="1:10" ht="29.5" thickBot="1" x14ac:dyDescent="0.4">
      <c r="A14" t="s">
        <v>133</v>
      </c>
      <c r="B14">
        <v>27.154</v>
      </c>
      <c r="C14">
        <v>28.152999999999999</v>
      </c>
      <c r="G14" s="9" t="s">
        <v>567</v>
      </c>
      <c r="H14" s="10" t="s">
        <v>591</v>
      </c>
      <c r="I14" s="10" t="s">
        <v>592</v>
      </c>
      <c r="J14" s="10" t="s">
        <v>570</v>
      </c>
    </row>
    <row r="15" spans="1:10" ht="29.5" thickBot="1" x14ac:dyDescent="0.4">
      <c r="A15" t="s">
        <v>134</v>
      </c>
      <c r="B15">
        <v>28.152999999999999</v>
      </c>
      <c r="C15">
        <v>29.055</v>
      </c>
      <c r="G15" s="9" t="s">
        <v>567</v>
      </c>
      <c r="H15" s="10" t="s">
        <v>593</v>
      </c>
      <c r="I15" s="10" t="s">
        <v>594</v>
      </c>
      <c r="J15" s="10" t="s">
        <v>570</v>
      </c>
    </row>
    <row r="16" spans="1:10" ht="29.5" thickBot="1" x14ac:dyDescent="0.4">
      <c r="A16" t="s">
        <v>135</v>
      </c>
      <c r="B16">
        <v>29.055</v>
      </c>
      <c r="C16">
        <v>30.57</v>
      </c>
      <c r="G16" s="9" t="s">
        <v>567</v>
      </c>
      <c r="H16" s="10" t="s">
        <v>595</v>
      </c>
      <c r="I16" s="10" t="s">
        <v>596</v>
      </c>
      <c r="J16" s="10" t="s">
        <v>570</v>
      </c>
    </row>
    <row r="17" spans="1:10" ht="29.5" thickBot="1" x14ac:dyDescent="0.4">
      <c r="A17" t="s">
        <v>136</v>
      </c>
      <c r="B17">
        <v>30.57</v>
      </c>
      <c r="C17">
        <v>31.472000000000001</v>
      </c>
      <c r="G17" s="9" t="s">
        <v>567</v>
      </c>
      <c r="H17" s="10" t="s">
        <v>597</v>
      </c>
      <c r="I17" s="10" t="s">
        <v>598</v>
      </c>
      <c r="J17" s="10" t="s">
        <v>570</v>
      </c>
    </row>
    <row r="18" spans="1:10" ht="29.5" thickBot="1" x14ac:dyDescent="0.4">
      <c r="A18" t="s">
        <v>137</v>
      </c>
      <c r="B18">
        <v>31.472000000000001</v>
      </c>
      <c r="C18">
        <v>32.816000000000003</v>
      </c>
      <c r="G18" s="9" t="s">
        <v>567</v>
      </c>
      <c r="H18" s="10" t="s">
        <v>599</v>
      </c>
      <c r="I18" s="10" t="s">
        <v>600</v>
      </c>
      <c r="J18" s="10" t="s">
        <v>570</v>
      </c>
    </row>
    <row r="19" spans="1:10" ht="29.5" thickBot="1" x14ac:dyDescent="0.4">
      <c r="A19" t="s">
        <v>138</v>
      </c>
      <c r="B19">
        <v>32.816000000000003</v>
      </c>
      <c r="C19">
        <v>33.606000000000002</v>
      </c>
      <c r="G19" s="9" t="s">
        <v>567</v>
      </c>
      <c r="H19" s="10" t="s">
        <v>601</v>
      </c>
      <c r="I19" s="10" t="s">
        <v>602</v>
      </c>
      <c r="J19" s="10" t="s">
        <v>570</v>
      </c>
    </row>
    <row r="20" spans="1:10" ht="29.5" thickBot="1" x14ac:dyDescent="0.4">
      <c r="A20" t="s">
        <v>139</v>
      </c>
      <c r="B20">
        <v>33.606000000000002</v>
      </c>
      <c r="C20">
        <v>33.76</v>
      </c>
      <c r="G20" s="9" t="s">
        <v>567</v>
      </c>
      <c r="H20" s="10" t="s">
        <v>603</v>
      </c>
      <c r="I20" s="10" t="s">
        <v>604</v>
      </c>
      <c r="J20" s="10" t="s">
        <v>570</v>
      </c>
    </row>
    <row r="21" spans="1:10" ht="29.5" thickBot="1" x14ac:dyDescent="0.4">
      <c r="A21" t="s">
        <v>530</v>
      </c>
      <c r="B21">
        <v>33.76</v>
      </c>
      <c r="C21">
        <v>33.884999999999998</v>
      </c>
      <c r="G21" s="9" t="s">
        <v>567</v>
      </c>
      <c r="H21" s="10" t="s">
        <v>605</v>
      </c>
      <c r="I21" s="10" t="s">
        <v>606</v>
      </c>
      <c r="J21" s="10" t="s">
        <v>570</v>
      </c>
    </row>
    <row r="22" spans="1:10" ht="29.5" thickBot="1" x14ac:dyDescent="0.4">
      <c r="A22" t="s">
        <v>140</v>
      </c>
      <c r="B22">
        <v>9.6359999999999992</v>
      </c>
      <c r="C22">
        <v>10.156000000000001</v>
      </c>
      <c r="G22" s="9" t="s">
        <v>567</v>
      </c>
      <c r="H22" s="10" t="s">
        <v>607</v>
      </c>
      <c r="I22" s="10" t="s">
        <v>608</v>
      </c>
      <c r="J22" s="10" t="s">
        <v>570</v>
      </c>
    </row>
    <row r="23" spans="1:10" ht="29.5" thickBot="1" x14ac:dyDescent="0.4">
      <c r="A23" t="s">
        <v>141</v>
      </c>
      <c r="B23">
        <v>10.156000000000001</v>
      </c>
      <c r="C23">
        <v>11.676</v>
      </c>
      <c r="G23" s="9" t="s">
        <v>567</v>
      </c>
      <c r="H23" s="10" t="s">
        <v>609</v>
      </c>
      <c r="I23" s="10" t="s">
        <v>610</v>
      </c>
      <c r="J23" s="10" t="s">
        <v>570</v>
      </c>
    </row>
    <row r="24" spans="1:10" ht="29.5" thickBot="1" x14ac:dyDescent="0.4">
      <c r="A24" t="s">
        <v>142</v>
      </c>
      <c r="B24">
        <v>11.676</v>
      </c>
      <c r="C24">
        <v>13.67</v>
      </c>
      <c r="G24" s="9" t="s">
        <v>567</v>
      </c>
      <c r="H24" s="10" t="s">
        <v>611</v>
      </c>
      <c r="I24" s="10" t="s">
        <v>612</v>
      </c>
      <c r="J24" s="10" t="s">
        <v>570</v>
      </c>
    </row>
    <row r="25" spans="1:10" ht="29.5" thickBot="1" x14ac:dyDescent="0.4">
      <c r="A25" t="s">
        <v>143</v>
      </c>
      <c r="B25">
        <v>13.67</v>
      </c>
      <c r="C25">
        <v>15.035</v>
      </c>
      <c r="G25" s="9" t="s">
        <v>567</v>
      </c>
      <c r="H25" s="10" t="s">
        <v>613</v>
      </c>
      <c r="I25" s="10" t="s">
        <v>614</v>
      </c>
      <c r="J25" s="10" t="s">
        <v>570</v>
      </c>
    </row>
    <row r="26" spans="1:10" ht="29.5" thickBot="1" x14ac:dyDescent="0.4">
      <c r="A26" t="s">
        <v>144</v>
      </c>
      <c r="B26">
        <v>15.035</v>
      </c>
      <c r="C26">
        <v>16.484000000000002</v>
      </c>
      <c r="G26" s="9" t="s">
        <v>567</v>
      </c>
      <c r="H26" s="10" t="s">
        <v>615</v>
      </c>
      <c r="I26" s="10" t="s">
        <v>616</v>
      </c>
      <c r="J26" s="10" t="s">
        <v>570</v>
      </c>
    </row>
    <row r="27" spans="1:10" ht="29.5" thickBot="1" x14ac:dyDescent="0.4">
      <c r="A27" t="s">
        <v>145</v>
      </c>
      <c r="B27">
        <v>16.484000000000002</v>
      </c>
      <c r="C27">
        <v>18.033000000000001</v>
      </c>
      <c r="G27" s="9" t="s">
        <v>567</v>
      </c>
      <c r="H27" s="10" t="s">
        <v>617</v>
      </c>
      <c r="I27" s="10" t="s">
        <v>618</v>
      </c>
      <c r="J27" s="10" t="s">
        <v>570</v>
      </c>
    </row>
    <row r="28" spans="1:10" ht="29.5" thickBot="1" x14ac:dyDescent="0.4">
      <c r="A28" t="s">
        <v>146</v>
      </c>
      <c r="B28">
        <v>18.033000000000001</v>
      </c>
      <c r="C28">
        <v>19.943000000000001</v>
      </c>
      <c r="G28" s="9" t="s">
        <v>567</v>
      </c>
      <c r="H28" s="10" t="s">
        <v>619</v>
      </c>
      <c r="I28" s="10" t="s">
        <v>620</v>
      </c>
      <c r="J28" s="10" t="s">
        <v>570</v>
      </c>
    </row>
    <row r="29" spans="1:10" ht="29.5" thickBot="1" x14ac:dyDescent="0.4">
      <c r="A29" t="s">
        <v>147</v>
      </c>
      <c r="B29">
        <v>19.943000000000001</v>
      </c>
      <c r="C29">
        <v>21.347999999999999</v>
      </c>
      <c r="G29" s="9" t="s">
        <v>567</v>
      </c>
      <c r="H29" s="10" t="s">
        <v>621</v>
      </c>
      <c r="I29" s="10" t="s">
        <v>622</v>
      </c>
      <c r="J29" s="10" t="s">
        <v>570</v>
      </c>
    </row>
    <row r="30" spans="1:10" ht="29.5" thickBot="1" x14ac:dyDescent="0.4">
      <c r="A30" t="s">
        <v>148</v>
      </c>
      <c r="B30">
        <v>21.347999999999999</v>
      </c>
      <c r="C30">
        <v>22.885999999999999</v>
      </c>
      <c r="G30" s="9" t="s">
        <v>567</v>
      </c>
      <c r="H30" s="10" t="s">
        <v>623</v>
      </c>
      <c r="I30" s="10" t="s">
        <v>624</v>
      </c>
      <c r="J30" s="10" t="s">
        <v>570</v>
      </c>
    </row>
    <row r="31" spans="1:10" ht="29.5" thickBot="1" x14ac:dyDescent="0.4">
      <c r="A31" t="s">
        <v>149</v>
      </c>
      <c r="B31">
        <v>22.885999999999999</v>
      </c>
      <c r="C31">
        <v>24.241</v>
      </c>
      <c r="G31" s="9" t="s">
        <v>567</v>
      </c>
      <c r="H31" s="10" t="s">
        <v>625</v>
      </c>
      <c r="I31" s="10" t="s">
        <v>626</v>
      </c>
      <c r="J31" s="10" t="s">
        <v>570</v>
      </c>
    </row>
    <row r="32" spans="1:10" ht="29.5" thickBot="1" x14ac:dyDescent="0.4">
      <c r="A32" t="s">
        <v>150</v>
      </c>
      <c r="B32">
        <v>24.241</v>
      </c>
      <c r="C32">
        <v>25.207999999999998</v>
      </c>
      <c r="G32" s="9" t="s">
        <v>567</v>
      </c>
      <c r="H32" s="10" t="s">
        <v>627</v>
      </c>
      <c r="I32" s="10" t="s">
        <v>628</v>
      </c>
      <c r="J32" s="10" t="s">
        <v>570</v>
      </c>
    </row>
    <row r="33" spans="1:10" ht="29.5" thickBot="1" x14ac:dyDescent="0.4">
      <c r="A33" t="s">
        <v>151</v>
      </c>
      <c r="B33">
        <v>25.207999999999998</v>
      </c>
      <c r="C33">
        <v>26.878</v>
      </c>
      <c r="G33" s="9" t="s">
        <v>567</v>
      </c>
      <c r="H33" s="10" t="s">
        <v>629</v>
      </c>
      <c r="I33" s="10" t="s">
        <v>630</v>
      </c>
      <c r="J33" s="10" t="s">
        <v>570</v>
      </c>
    </row>
    <row r="34" spans="1:10" ht="29.5" thickBot="1" x14ac:dyDescent="0.4">
      <c r="A34" t="s">
        <v>152</v>
      </c>
      <c r="B34">
        <v>26.878</v>
      </c>
      <c r="C34">
        <v>27.209</v>
      </c>
      <c r="G34" s="9" t="s">
        <v>567</v>
      </c>
      <c r="H34" s="10" t="s">
        <v>631</v>
      </c>
      <c r="I34" s="10" t="s">
        <v>632</v>
      </c>
      <c r="J34" s="10" t="s">
        <v>570</v>
      </c>
    </row>
    <row r="35" spans="1:10" ht="29.5" thickBot="1" x14ac:dyDescent="0.4">
      <c r="A35" t="s">
        <v>153</v>
      </c>
      <c r="B35">
        <v>27.209</v>
      </c>
      <c r="C35">
        <v>28.47</v>
      </c>
      <c r="G35" s="9" t="s">
        <v>567</v>
      </c>
      <c r="H35" s="10" t="s">
        <v>633</v>
      </c>
      <c r="I35" s="10" t="s">
        <v>634</v>
      </c>
      <c r="J35" s="10" t="s">
        <v>570</v>
      </c>
    </row>
    <row r="36" spans="1:10" ht="29.5" thickBot="1" x14ac:dyDescent="0.4">
      <c r="A36" t="s">
        <v>154</v>
      </c>
      <c r="B36">
        <v>28.47</v>
      </c>
      <c r="C36">
        <v>29.47</v>
      </c>
      <c r="G36" s="9" t="s">
        <v>567</v>
      </c>
      <c r="H36" s="10" t="s">
        <v>635</v>
      </c>
      <c r="I36" s="10" t="s">
        <v>636</v>
      </c>
      <c r="J36" s="10" t="s">
        <v>570</v>
      </c>
    </row>
    <row r="37" spans="1:10" ht="29.5" thickBot="1" x14ac:dyDescent="0.4">
      <c r="A37" t="s">
        <v>155</v>
      </c>
      <c r="B37">
        <v>29.47</v>
      </c>
      <c r="C37">
        <v>30.893000000000001</v>
      </c>
      <c r="G37" s="9" t="s">
        <v>567</v>
      </c>
      <c r="H37" s="10" t="s">
        <v>637</v>
      </c>
      <c r="I37" s="10" t="s">
        <v>638</v>
      </c>
      <c r="J37" s="10" t="s">
        <v>570</v>
      </c>
    </row>
    <row r="38" spans="1:10" ht="29.5" thickBot="1" x14ac:dyDescent="0.4">
      <c r="A38" t="s">
        <v>156</v>
      </c>
      <c r="B38">
        <v>30.893000000000001</v>
      </c>
      <c r="C38">
        <v>32.418999999999997</v>
      </c>
      <c r="G38" s="9" t="s">
        <v>567</v>
      </c>
      <c r="H38" s="10" t="s">
        <v>639</v>
      </c>
      <c r="I38" s="10" t="s">
        <v>640</v>
      </c>
      <c r="J38" s="10" t="s">
        <v>570</v>
      </c>
    </row>
    <row r="39" spans="1:10" ht="29.5" thickBot="1" x14ac:dyDescent="0.4">
      <c r="A39" t="s">
        <v>157</v>
      </c>
      <c r="B39">
        <v>32.418999999999997</v>
      </c>
      <c r="C39">
        <v>33.046999999999997</v>
      </c>
      <c r="G39" s="9" t="s">
        <v>567</v>
      </c>
      <c r="H39" s="10" t="s">
        <v>641</v>
      </c>
      <c r="I39" s="10" t="s">
        <v>642</v>
      </c>
      <c r="J39" s="10" t="s">
        <v>570</v>
      </c>
    </row>
    <row r="40" spans="1:10" ht="29.5" thickBot="1" x14ac:dyDescent="0.4">
      <c r="A40" t="s">
        <v>158</v>
      </c>
      <c r="B40">
        <v>33.046999999999997</v>
      </c>
      <c r="C40">
        <v>33.76</v>
      </c>
      <c r="G40" s="9" t="s">
        <v>567</v>
      </c>
      <c r="H40" s="10" t="s">
        <v>643</v>
      </c>
      <c r="I40" s="10" t="s">
        <v>644</v>
      </c>
      <c r="J40" s="10" t="s">
        <v>570</v>
      </c>
    </row>
    <row r="41" spans="1:10" ht="29.5" thickBot="1" x14ac:dyDescent="0.4">
      <c r="A41" t="s">
        <v>531</v>
      </c>
      <c r="B41">
        <v>33.76</v>
      </c>
      <c r="C41">
        <v>33.884999999999998</v>
      </c>
      <c r="G41" s="9" t="s">
        <v>567</v>
      </c>
      <c r="H41" s="10" t="s">
        <v>645</v>
      </c>
      <c r="I41" s="10" t="s">
        <v>646</v>
      </c>
      <c r="J41" s="10" t="s">
        <v>570</v>
      </c>
    </row>
    <row r="42" spans="1:10" ht="29.5" thickBot="1" x14ac:dyDescent="0.4">
      <c r="A42" t="s">
        <v>159</v>
      </c>
      <c r="B42">
        <v>9.6359999999999992</v>
      </c>
      <c r="C42">
        <v>10.987</v>
      </c>
      <c r="G42" s="9" t="s">
        <v>567</v>
      </c>
      <c r="H42" s="10" t="s">
        <v>647</v>
      </c>
      <c r="I42" s="10" t="s">
        <v>648</v>
      </c>
      <c r="J42" s="10" t="s">
        <v>570</v>
      </c>
    </row>
    <row r="43" spans="1:10" ht="29.5" thickBot="1" x14ac:dyDescent="0.4">
      <c r="A43" t="s">
        <v>160</v>
      </c>
      <c r="B43">
        <v>10.987</v>
      </c>
      <c r="C43">
        <v>12.542999999999999</v>
      </c>
      <c r="G43" s="9" t="s">
        <v>567</v>
      </c>
      <c r="H43" s="10" t="s">
        <v>649</v>
      </c>
      <c r="I43" s="10" t="s">
        <v>650</v>
      </c>
      <c r="J43" s="10" t="s">
        <v>570</v>
      </c>
    </row>
    <row r="44" spans="1:10" ht="29.5" thickBot="1" x14ac:dyDescent="0.4">
      <c r="A44" t="s">
        <v>161</v>
      </c>
      <c r="B44">
        <v>12.542999999999999</v>
      </c>
      <c r="C44">
        <v>14.081</v>
      </c>
      <c r="G44" s="9" t="s">
        <v>567</v>
      </c>
      <c r="H44" s="10" t="s">
        <v>651</v>
      </c>
      <c r="I44" s="10" t="s">
        <v>652</v>
      </c>
      <c r="J44" s="10" t="s">
        <v>570</v>
      </c>
    </row>
    <row r="45" spans="1:10" ht="29.5" thickBot="1" x14ac:dyDescent="0.4">
      <c r="A45" t="s">
        <v>162</v>
      </c>
      <c r="B45">
        <v>14.081</v>
      </c>
      <c r="C45">
        <v>15.506</v>
      </c>
      <c r="G45" s="9" t="s">
        <v>567</v>
      </c>
      <c r="H45" s="10" t="s">
        <v>653</v>
      </c>
      <c r="I45" s="10" t="s">
        <v>654</v>
      </c>
      <c r="J45" s="10" t="s">
        <v>570</v>
      </c>
    </row>
    <row r="46" spans="1:10" ht="29.5" thickBot="1" x14ac:dyDescent="0.4">
      <c r="A46" t="s">
        <v>163</v>
      </c>
      <c r="B46">
        <v>15.506</v>
      </c>
      <c r="C46">
        <v>17.010000000000002</v>
      </c>
      <c r="G46" s="9" t="s">
        <v>567</v>
      </c>
      <c r="H46" s="10" t="s">
        <v>655</v>
      </c>
      <c r="I46" s="10" t="s">
        <v>656</v>
      </c>
      <c r="J46" s="10" t="s">
        <v>570</v>
      </c>
    </row>
    <row r="47" spans="1:10" ht="29.5" thickBot="1" x14ac:dyDescent="0.4">
      <c r="A47" t="s">
        <v>164</v>
      </c>
      <c r="B47">
        <v>17.010000000000002</v>
      </c>
      <c r="C47">
        <v>18.823</v>
      </c>
      <c r="G47" s="9" t="s">
        <v>567</v>
      </c>
      <c r="H47" s="10" t="s">
        <v>657</v>
      </c>
      <c r="I47" s="10" t="s">
        <v>658</v>
      </c>
      <c r="J47" s="10" t="s">
        <v>570</v>
      </c>
    </row>
    <row r="48" spans="1:10" ht="29.5" thickBot="1" x14ac:dyDescent="0.4">
      <c r="A48" s="5" t="s">
        <v>165</v>
      </c>
      <c r="B48" s="5">
        <v>18.823</v>
      </c>
      <c r="C48" s="5">
        <v>19.943000000000001</v>
      </c>
      <c r="G48" s="9" t="s">
        <v>567</v>
      </c>
      <c r="H48" s="10" t="s">
        <v>659</v>
      </c>
      <c r="I48" s="10" t="s">
        <v>660</v>
      </c>
      <c r="J48" s="10" t="s">
        <v>570</v>
      </c>
    </row>
    <row r="49" spans="1:10" ht="29.5" thickBot="1" x14ac:dyDescent="0.4">
      <c r="A49" t="s">
        <v>166</v>
      </c>
      <c r="B49">
        <v>19.943000000000001</v>
      </c>
      <c r="C49">
        <v>21.347999999999999</v>
      </c>
      <c r="G49" s="9" t="s">
        <v>567</v>
      </c>
      <c r="H49" s="10" t="s">
        <v>661</v>
      </c>
      <c r="I49" s="10" t="s">
        <v>662</v>
      </c>
      <c r="J49" s="10" t="s">
        <v>570</v>
      </c>
    </row>
    <row r="50" spans="1:10" ht="29.5" thickBot="1" x14ac:dyDescent="0.4">
      <c r="A50" t="s">
        <v>167</v>
      </c>
      <c r="B50">
        <v>21.347999999999999</v>
      </c>
      <c r="C50">
        <v>21.943999999999999</v>
      </c>
      <c r="G50" s="9" t="s">
        <v>567</v>
      </c>
      <c r="H50" s="10" t="s">
        <v>663</v>
      </c>
      <c r="I50" s="10" t="s">
        <v>664</v>
      </c>
      <c r="J50" s="10" t="s">
        <v>570</v>
      </c>
    </row>
    <row r="51" spans="1:10" x14ac:dyDescent="0.35">
      <c r="A51" t="s">
        <v>168</v>
      </c>
      <c r="B51">
        <v>21.943999999999999</v>
      </c>
      <c r="C51">
        <v>23.686</v>
      </c>
    </row>
    <row r="52" spans="1:10" x14ac:dyDescent="0.35">
      <c r="A52" t="s">
        <v>169</v>
      </c>
      <c r="B52">
        <v>23.686</v>
      </c>
      <c r="C52">
        <v>25.402000000000001</v>
      </c>
    </row>
    <row r="53" spans="1:10" x14ac:dyDescent="0.35">
      <c r="A53" t="s">
        <v>170</v>
      </c>
      <c r="B53">
        <v>25.402000000000001</v>
      </c>
      <c r="C53">
        <v>26.827999999999999</v>
      </c>
    </row>
    <row r="54" spans="1:10" x14ac:dyDescent="0.35">
      <c r="A54" t="s">
        <v>171</v>
      </c>
      <c r="B54">
        <v>26.827999999999999</v>
      </c>
      <c r="C54">
        <v>28.678999999999998</v>
      </c>
    </row>
    <row r="55" spans="1:10" x14ac:dyDescent="0.35">
      <c r="A55" t="s">
        <v>172</v>
      </c>
      <c r="B55">
        <v>28.678999999999998</v>
      </c>
      <c r="C55">
        <v>30.34</v>
      </c>
    </row>
    <row r="56" spans="1:10" x14ac:dyDescent="0.35">
      <c r="A56" t="s">
        <v>173</v>
      </c>
      <c r="B56">
        <v>30.34</v>
      </c>
      <c r="C56">
        <v>31.863</v>
      </c>
    </row>
    <row r="57" spans="1:10" x14ac:dyDescent="0.35">
      <c r="A57" t="s">
        <v>174</v>
      </c>
      <c r="B57">
        <v>31.863</v>
      </c>
      <c r="C57">
        <v>33.564999999999998</v>
      </c>
    </row>
    <row r="58" spans="1:10" x14ac:dyDescent="0.35">
      <c r="A58" t="s">
        <v>175</v>
      </c>
      <c r="B58">
        <v>33.564999999999998</v>
      </c>
      <c r="C58">
        <v>35.39</v>
      </c>
    </row>
    <row r="59" spans="1:10" x14ac:dyDescent="0.35">
      <c r="A59" t="s">
        <v>176</v>
      </c>
      <c r="B59">
        <v>35.39</v>
      </c>
      <c r="C59">
        <v>37.012999999999998</v>
      </c>
    </row>
    <row r="60" spans="1:10" x14ac:dyDescent="0.35">
      <c r="A60" t="s">
        <v>177</v>
      </c>
      <c r="B60">
        <v>37.012999999999998</v>
      </c>
      <c r="C60">
        <v>38.612000000000002</v>
      </c>
    </row>
    <row r="61" spans="1:10" x14ac:dyDescent="0.35">
      <c r="A61" t="s">
        <v>178</v>
      </c>
      <c r="B61">
        <v>38.612000000000002</v>
      </c>
      <c r="C61">
        <v>40.566000000000003</v>
      </c>
    </row>
    <row r="62" spans="1:10" x14ac:dyDescent="0.35">
      <c r="A62" t="s">
        <v>179</v>
      </c>
      <c r="B62">
        <v>40.566000000000003</v>
      </c>
      <c r="C62">
        <v>42.66</v>
      </c>
    </row>
    <row r="63" spans="1:10" x14ac:dyDescent="0.35">
      <c r="A63" t="s">
        <v>180</v>
      </c>
      <c r="B63">
        <v>42.66</v>
      </c>
      <c r="C63">
        <v>44.325000000000003</v>
      </c>
    </row>
    <row r="64" spans="1:10" x14ac:dyDescent="0.35">
      <c r="A64" t="s">
        <v>181</v>
      </c>
      <c r="B64">
        <v>44.325000000000003</v>
      </c>
      <c r="C64">
        <v>45.66</v>
      </c>
    </row>
    <row r="65" spans="1:3" x14ac:dyDescent="0.35">
      <c r="A65" t="s">
        <v>182</v>
      </c>
      <c r="B65">
        <v>45.66</v>
      </c>
      <c r="C65">
        <v>47.38</v>
      </c>
    </row>
    <row r="66" spans="1:3" x14ac:dyDescent="0.35">
      <c r="A66" t="s">
        <v>183</v>
      </c>
      <c r="B66">
        <v>47.38</v>
      </c>
      <c r="C66">
        <v>49.095999999999997</v>
      </c>
    </row>
    <row r="67" spans="1:3" x14ac:dyDescent="0.35">
      <c r="A67" t="s">
        <v>184</v>
      </c>
      <c r="B67">
        <v>49.095999999999997</v>
      </c>
      <c r="C67">
        <v>50.743000000000002</v>
      </c>
    </row>
    <row r="68" spans="1:3" x14ac:dyDescent="0.35">
      <c r="A68" t="s">
        <v>185</v>
      </c>
      <c r="B68">
        <v>50.743000000000002</v>
      </c>
      <c r="C68">
        <v>52.357999999999997</v>
      </c>
    </row>
    <row r="69" spans="1:3" x14ac:dyDescent="0.35">
      <c r="A69" t="s">
        <v>186</v>
      </c>
      <c r="B69">
        <v>52.357999999999997</v>
      </c>
      <c r="C69">
        <v>53.963000000000001</v>
      </c>
    </row>
    <row r="70" spans="1:3" x14ac:dyDescent="0.35">
      <c r="A70" t="s">
        <v>187</v>
      </c>
      <c r="B70">
        <v>53.963000000000001</v>
      </c>
      <c r="C70">
        <v>57.27</v>
      </c>
    </row>
    <row r="71" spans="1:3" x14ac:dyDescent="0.35">
      <c r="A71" t="s">
        <v>188</v>
      </c>
      <c r="B71">
        <v>57.27</v>
      </c>
      <c r="C71">
        <v>58.881999999999998</v>
      </c>
    </row>
    <row r="72" spans="1:3" x14ac:dyDescent="0.35">
      <c r="A72" t="s">
        <v>189</v>
      </c>
      <c r="B72">
        <v>58.881999999999998</v>
      </c>
      <c r="C72">
        <v>60.595999999999997</v>
      </c>
    </row>
    <row r="73" spans="1:3" x14ac:dyDescent="0.35">
      <c r="A73" t="s">
        <v>190</v>
      </c>
      <c r="B73">
        <v>60.595999999999997</v>
      </c>
      <c r="C73">
        <v>62.148000000000003</v>
      </c>
    </row>
    <row r="74" spans="1:3" x14ac:dyDescent="0.35">
      <c r="A74" t="s">
        <v>191</v>
      </c>
      <c r="B74">
        <v>62.148000000000003</v>
      </c>
      <c r="C74">
        <v>64.965000000000003</v>
      </c>
    </row>
    <row r="75" spans="1:3" x14ac:dyDescent="0.35">
      <c r="A75" t="s">
        <v>192</v>
      </c>
      <c r="B75">
        <v>64.965000000000003</v>
      </c>
      <c r="C75">
        <v>66.394999999999996</v>
      </c>
    </row>
    <row r="76" spans="1:3" x14ac:dyDescent="0.35">
      <c r="A76" t="s">
        <v>193</v>
      </c>
      <c r="B76">
        <v>66.394999999999996</v>
      </c>
      <c r="C76">
        <v>68.632999999999996</v>
      </c>
    </row>
    <row r="77" spans="1:3" x14ac:dyDescent="0.35">
      <c r="A77" t="s">
        <v>194</v>
      </c>
      <c r="B77">
        <v>68.632999999999996</v>
      </c>
      <c r="C77">
        <v>70.784000000000006</v>
      </c>
    </row>
    <row r="78" spans="1:3" x14ac:dyDescent="0.35">
      <c r="A78" t="s">
        <v>195</v>
      </c>
      <c r="B78">
        <v>70.784000000000006</v>
      </c>
      <c r="C78">
        <v>72.114000000000004</v>
      </c>
    </row>
    <row r="79" spans="1:3" x14ac:dyDescent="0.35">
      <c r="A79" s="5" t="s">
        <v>196</v>
      </c>
      <c r="B79" s="5">
        <v>72.114000000000004</v>
      </c>
      <c r="C79">
        <v>73.759</v>
      </c>
    </row>
    <row r="80" spans="1:3" x14ac:dyDescent="0.35">
      <c r="A80" t="s">
        <v>197</v>
      </c>
      <c r="B80">
        <v>73.759</v>
      </c>
      <c r="C80">
        <v>75.304000000000002</v>
      </c>
    </row>
    <row r="81" spans="1:3" x14ac:dyDescent="0.35">
      <c r="A81" t="s">
        <v>198</v>
      </c>
      <c r="B81">
        <v>75.304000000000002</v>
      </c>
      <c r="C81">
        <v>76.935000000000002</v>
      </c>
    </row>
    <row r="82" spans="1:3" x14ac:dyDescent="0.35">
      <c r="A82" t="s">
        <v>199</v>
      </c>
      <c r="B82">
        <v>76.935000000000002</v>
      </c>
      <c r="C82">
        <v>77.728999999999999</v>
      </c>
    </row>
    <row r="83" spans="1:3" x14ac:dyDescent="0.35">
      <c r="A83" t="s">
        <v>200</v>
      </c>
      <c r="B83">
        <v>77.728999999999999</v>
      </c>
      <c r="C83">
        <v>77.84</v>
      </c>
    </row>
    <row r="84" spans="1:3" x14ac:dyDescent="0.35">
      <c r="A84" t="s">
        <v>201</v>
      </c>
      <c r="B84">
        <v>77.84</v>
      </c>
      <c r="C84">
        <v>78.2</v>
      </c>
    </row>
    <row r="85" spans="1:3" x14ac:dyDescent="0.35">
      <c r="A85" t="s">
        <v>202</v>
      </c>
      <c r="B85">
        <v>11.59</v>
      </c>
      <c r="C85">
        <v>11.846</v>
      </c>
    </row>
    <row r="86" spans="1:3" x14ac:dyDescent="0.35">
      <c r="A86" t="s">
        <v>203</v>
      </c>
      <c r="B86">
        <v>11.846</v>
      </c>
      <c r="C86">
        <v>12.36</v>
      </c>
    </row>
    <row r="87" spans="1:3" x14ac:dyDescent="0.35">
      <c r="A87" t="s">
        <v>204</v>
      </c>
      <c r="B87">
        <v>9.6359999999999992</v>
      </c>
      <c r="C87">
        <v>10.156000000000001</v>
      </c>
    </row>
    <row r="88" spans="1:3" x14ac:dyDescent="0.35">
      <c r="A88" t="s">
        <v>205</v>
      </c>
      <c r="B88">
        <v>10.156000000000001</v>
      </c>
      <c r="C88">
        <v>11.676</v>
      </c>
    </row>
    <row r="89" spans="1:3" x14ac:dyDescent="0.35">
      <c r="A89" t="s">
        <v>206</v>
      </c>
      <c r="B89">
        <v>11.676</v>
      </c>
      <c r="C89">
        <v>13.67</v>
      </c>
    </row>
    <row r="90" spans="1:3" x14ac:dyDescent="0.35">
      <c r="A90" t="s">
        <v>207</v>
      </c>
      <c r="B90">
        <v>13.67</v>
      </c>
      <c r="C90">
        <v>15.035</v>
      </c>
    </row>
    <row r="91" spans="1:3" x14ac:dyDescent="0.35">
      <c r="A91" t="s">
        <v>208</v>
      </c>
      <c r="B91">
        <v>15.035</v>
      </c>
      <c r="C91">
        <v>16.484000000000002</v>
      </c>
    </row>
    <row r="92" spans="1:3" x14ac:dyDescent="0.35">
      <c r="A92" t="s">
        <v>209</v>
      </c>
      <c r="B92">
        <v>16.484000000000002</v>
      </c>
      <c r="C92">
        <v>18.033000000000001</v>
      </c>
    </row>
    <row r="93" spans="1:3" x14ac:dyDescent="0.35">
      <c r="A93" t="s">
        <v>210</v>
      </c>
      <c r="B93">
        <v>18.033000000000001</v>
      </c>
      <c r="C93">
        <v>19.943000000000001</v>
      </c>
    </row>
    <row r="94" spans="1:3" x14ac:dyDescent="0.35">
      <c r="A94" t="s">
        <v>211</v>
      </c>
      <c r="B94">
        <v>19.943000000000001</v>
      </c>
      <c r="C94">
        <v>21.347999999999999</v>
      </c>
    </row>
    <row r="95" spans="1:3" x14ac:dyDescent="0.35">
      <c r="A95" t="s">
        <v>212</v>
      </c>
      <c r="B95">
        <v>21.347999999999999</v>
      </c>
      <c r="C95">
        <v>21.366</v>
      </c>
    </row>
    <row r="96" spans="1:3" x14ac:dyDescent="0.35">
      <c r="A96" t="s">
        <v>213</v>
      </c>
      <c r="B96">
        <v>21.366</v>
      </c>
      <c r="C96">
        <v>22.951000000000001</v>
      </c>
    </row>
    <row r="97" spans="1:3" x14ac:dyDescent="0.35">
      <c r="A97" t="s">
        <v>214</v>
      </c>
      <c r="B97">
        <v>22.951000000000001</v>
      </c>
      <c r="C97">
        <v>24.56</v>
      </c>
    </row>
    <row r="98" spans="1:3" x14ac:dyDescent="0.35">
      <c r="A98" t="s">
        <v>215</v>
      </c>
      <c r="B98">
        <v>24.56</v>
      </c>
      <c r="C98">
        <v>26.234999999999999</v>
      </c>
    </row>
    <row r="99" spans="1:3" x14ac:dyDescent="0.35">
      <c r="A99" t="s">
        <v>216</v>
      </c>
      <c r="B99">
        <v>26.234999999999999</v>
      </c>
      <c r="C99">
        <v>28.074000000000002</v>
      </c>
    </row>
    <row r="100" spans="1:3" x14ac:dyDescent="0.35">
      <c r="A100" t="s">
        <v>217</v>
      </c>
      <c r="B100">
        <v>28.074000000000002</v>
      </c>
      <c r="C100">
        <v>29.565000000000001</v>
      </c>
    </row>
    <row r="101" spans="1:3" x14ac:dyDescent="0.35">
      <c r="A101" t="s">
        <v>218</v>
      </c>
      <c r="B101">
        <v>29.565000000000001</v>
      </c>
      <c r="C101">
        <v>31.920999999999999</v>
      </c>
    </row>
    <row r="102" spans="1:3" x14ac:dyDescent="0.35">
      <c r="A102" t="s">
        <v>219</v>
      </c>
      <c r="B102">
        <v>31.920999999999999</v>
      </c>
      <c r="C102">
        <v>35.335999999999999</v>
      </c>
    </row>
    <row r="103" spans="1:3" x14ac:dyDescent="0.35">
      <c r="A103" t="s">
        <v>220</v>
      </c>
      <c r="B103">
        <v>35.335999999999999</v>
      </c>
      <c r="C103">
        <v>36.622999999999998</v>
      </c>
    </row>
    <row r="104" spans="1:3" x14ac:dyDescent="0.35">
      <c r="A104" t="s">
        <v>221</v>
      </c>
      <c r="B104">
        <v>36.622999999999998</v>
      </c>
      <c r="C104">
        <v>37.070999999999998</v>
      </c>
    </row>
    <row r="105" spans="1:3" x14ac:dyDescent="0.35">
      <c r="A105" t="s">
        <v>222</v>
      </c>
      <c r="B105">
        <v>37.070999999999998</v>
      </c>
      <c r="C105">
        <v>39.33</v>
      </c>
    </row>
    <row r="106" spans="1:3" x14ac:dyDescent="0.35">
      <c r="A106" t="s">
        <v>223</v>
      </c>
      <c r="B106">
        <v>39.33</v>
      </c>
      <c r="C106">
        <v>41.515000000000001</v>
      </c>
    </row>
    <row r="107" spans="1:3" x14ac:dyDescent="0.35">
      <c r="A107" t="s">
        <v>224</v>
      </c>
      <c r="B107">
        <v>41.515000000000001</v>
      </c>
      <c r="C107">
        <v>43.701999999999998</v>
      </c>
    </row>
    <row r="108" spans="1:3" x14ac:dyDescent="0.35">
      <c r="A108" t="s">
        <v>225</v>
      </c>
      <c r="B108">
        <v>43.701999999999998</v>
      </c>
      <c r="C108">
        <v>45.716000000000001</v>
      </c>
    </row>
    <row r="109" spans="1:3" x14ac:dyDescent="0.35">
      <c r="A109" t="s">
        <v>226</v>
      </c>
      <c r="B109">
        <v>45.716000000000001</v>
      </c>
      <c r="C109">
        <v>47.44</v>
      </c>
    </row>
    <row r="110" spans="1:3" x14ac:dyDescent="0.35">
      <c r="A110" t="s">
        <v>227</v>
      </c>
      <c r="B110">
        <v>47.44</v>
      </c>
      <c r="C110">
        <v>49.155999999999999</v>
      </c>
    </row>
    <row r="111" spans="1:3" x14ac:dyDescent="0.35">
      <c r="A111" t="s">
        <v>228</v>
      </c>
      <c r="B111">
        <v>49.155999999999999</v>
      </c>
      <c r="C111">
        <v>50.798999999999999</v>
      </c>
    </row>
    <row r="112" spans="1:3" x14ac:dyDescent="0.35">
      <c r="A112" t="s">
        <v>229</v>
      </c>
      <c r="B112">
        <v>50.798999999999999</v>
      </c>
      <c r="C112">
        <v>52.417999999999999</v>
      </c>
    </row>
    <row r="113" spans="1:3" x14ac:dyDescent="0.35">
      <c r="A113" t="s">
        <v>230</v>
      </c>
      <c r="B113">
        <v>52.417999999999999</v>
      </c>
      <c r="C113">
        <v>54.02</v>
      </c>
    </row>
    <row r="114" spans="1:3" x14ac:dyDescent="0.35">
      <c r="A114" t="s">
        <v>231</v>
      </c>
      <c r="B114">
        <v>54.02</v>
      </c>
      <c r="C114">
        <v>55.573</v>
      </c>
    </row>
    <row r="115" spans="1:3" x14ac:dyDescent="0.35">
      <c r="A115" t="s">
        <v>232</v>
      </c>
      <c r="B115">
        <v>55.573</v>
      </c>
      <c r="C115">
        <v>55.631999999999998</v>
      </c>
    </row>
    <row r="116" spans="1:3" x14ac:dyDescent="0.35">
      <c r="A116" t="s">
        <v>233</v>
      </c>
      <c r="B116">
        <v>55.631999999999998</v>
      </c>
      <c r="C116">
        <v>57.326000000000001</v>
      </c>
    </row>
    <row r="117" spans="1:3" x14ac:dyDescent="0.35">
      <c r="A117" t="s">
        <v>234</v>
      </c>
      <c r="B117">
        <v>57.326000000000001</v>
      </c>
      <c r="C117">
        <v>58.938000000000002</v>
      </c>
    </row>
    <row r="118" spans="1:3" x14ac:dyDescent="0.35">
      <c r="A118" t="s">
        <v>235</v>
      </c>
      <c r="B118">
        <v>58.938000000000002</v>
      </c>
      <c r="C118">
        <v>60.654000000000003</v>
      </c>
    </row>
    <row r="119" spans="1:3" x14ac:dyDescent="0.35">
      <c r="A119" t="s">
        <v>236</v>
      </c>
      <c r="B119">
        <v>60.654000000000003</v>
      </c>
      <c r="C119">
        <v>62.71</v>
      </c>
    </row>
    <row r="120" spans="1:3" x14ac:dyDescent="0.35">
      <c r="A120" t="s">
        <v>237</v>
      </c>
      <c r="B120">
        <v>62.71</v>
      </c>
      <c r="C120">
        <v>63.726999999999997</v>
      </c>
    </row>
    <row r="121" spans="1:3" x14ac:dyDescent="0.35">
      <c r="A121" t="s">
        <v>238</v>
      </c>
      <c r="B121">
        <v>63.726999999999997</v>
      </c>
      <c r="C121">
        <v>66.061000000000007</v>
      </c>
    </row>
    <row r="122" spans="1:3" x14ac:dyDescent="0.35">
      <c r="A122" t="s">
        <v>239</v>
      </c>
      <c r="B122">
        <v>66.061000000000007</v>
      </c>
      <c r="C122">
        <v>67.647000000000006</v>
      </c>
    </row>
    <row r="123" spans="1:3" x14ac:dyDescent="0.35">
      <c r="A123" t="s">
        <v>240</v>
      </c>
      <c r="B123">
        <v>67.647000000000006</v>
      </c>
      <c r="C123">
        <v>69.968000000000004</v>
      </c>
    </row>
    <row r="124" spans="1:3" x14ac:dyDescent="0.35">
      <c r="A124" t="s">
        <v>241</v>
      </c>
      <c r="B124">
        <v>69.968000000000004</v>
      </c>
      <c r="C124">
        <v>72.168000000000006</v>
      </c>
    </row>
    <row r="125" spans="1:3" x14ac:dyDescent="0.35">
      <c r="A125" t="s">
        <v>242</v>
      </c>
      <c r="B125">
        <v>72.168000000000006</v>
      </c>
      <c r="C125">
        <v>73.819000000000003</v>
      </c>
    </row>
    <row r="126" spans="1:3" x14ac:dyDescent="0.35">
      <c r="A126" t="s">
        <v>243</v>
      </c>
      <c r="B126">
        <v>73.819000000000003</v>
      </c>
      <c r="C126">
        <v>75.356999999999999</v>
      </c>
    </row>
    <row r="127" spans="1:3" x14ac:dyDescent="0.35">
      <c r="A127" t="s">
        <v>244</v>
      </c>
      <c r="B127">
        <v>75.356999999999999</v>
      </c>
      <c r="C127">
        <v>76.994</v>
      </c>
    </row>
    <row r="128" spans="1:3" x14ac:dyDescent="0.35">
      <c r="A128" t="s">
        <v>245</v>
      </c>
      <c r="B128">
        <v>76.994</v>
      </c>
      <c r="C128">
        <v>77.775000000000006</v>
      </c>
    </row>
    <row r="129" spans="1:3" x14ac:dyDescent="0.35">
      <c r="A129" t="s">
        <v>246</v>
      </c>
      <c r="B129">
        <v>77.775000000000006</v>
      </c>
      <c r="C129">
        <v>78.650000000000006</v>
      </c>
    </row>
    <row r="130" spans="1:3" x14ac:dyDescent="0.35">
      <c r="A130" t="s">
        <v>247</v>
      </c>
      <c r="B130">
        <v>9.7919999999999998</v>
      </c>
      <c r="C130">
        <v>10.694000000000001</v>
      </c>
    </row>
    <row r="131" spans="1:3" x14ac:dyDescent="0.35">
      <c r="A131" t="s">
        <v>248</v>
      </c>
      <c r="B131">
        <v>10.694000000000001</v>
      </c>
      <c r="C131">
        <v>11.1</v>
      </c>
    </row>
    <row r="132" spans="1:3" x14ac:dyDescent="0.35">
      <c r="A132" t="s">
        <v>249</v>
      </c>
      <c r="B132">
        <v>9.7919999999999998</v>
      </c>
      <c r="C132">
        <v>10.694000000000001</v>
      </c>
    </row>
    <row r="133" spans="1:3" x14ac:dyDescent="0.35">
      <c r="A133" t="s">
        <v>250</v>
      </c>
      <c r="B133">
        <v>10.694000000000001</v>
      </c>
      <c r="C133">
        <v>11.2</v>
      </c>
    </row>
    <row r="134" spans="1:3" x14ac:dyDescent="0.35">
      <c r="A134" t="s">
        <v>251</v>
      </c>
      <c r="B134">
        <v>17.600000000000001</v>
      </c>
      <c r="C134">
        <v>17.864999999999998</v>
      </c>
    </row>
    <row r="135" spans="1:3" x14ac:dyDescent="0.35">
      <c r="A135" t="s">
        <v>252</v>
      </c>
      <c r="B135">
        <v>17.864999999999998</v>
      </c>
      <c r="C135">
        <v>18.731999999999999</v>
      </c>
    </row>
    <row r="136" spans="1:3" x14ac:dyDescent="0.35">
      <c r="A136" t="s">
        <v>253</v>
      </c>
      <c r="B136">
        <v>18.731999999999999</v>
      </c>
      <c r="C136">
        <v>18.95</v>
      </c>
    </row>
    <row r="137" spans="1:3" x14ac:dyDescent="0.35">
      <c r="A137" t="s">
        <v>254</v>
      </c>
      <c r="B137">
        <v>17.8</v>
      </c>
      <c r="C137">
        <v>17.95</v>
      </c>
    </row>
    <row r="138" spans="1:3" x14ac:dyDescent="0.35">
      <c r="A138" t="s">
        <v>255</v>
      </c>
      <c r="B138">
        <v>17.95</v>
      </c>
      <c r="C138">
        <v>18.643000000000001</v>
      </c>
    </row>
    <row r="139" spans="1:3" x14ac:dyDescent="0.35">
      <c r="A139" t="s">
        <v>256</v>
      </c>
      <c r="B139">
        <v>18.643000000000001</v>
      </c>
      <c r="C139">
        <v>18.7</v>
      </c>
    </row>
    <row r="140" spans="1:3" x14ac:dyDescent="0.35">
      <c r="A140" t="s">
        <v>257</v>
      </c>
      <c r="B140">
        <v>17.78</v>
      </c>
      <c r="C140">
        <v>17.876999999999999</v>
      </c>
    </row>
    <row r="141" spans="1:3" x14ac:dyDescent="0.35">
      <c r="A141" t="s">
        <v>258</v>
      </c>
      <c r="B141">
        <v>17.876999999999999</v>
      </c>
      <c r="C141">
        <v>18.643999999999998</v>
      </c>
    </row>
    <row r="142" spans="1:3" x14ac:dyDescent="0.35">
      <c r="A142" t="s">
        <v>259</v>
      </c>
      <c r="B142">
        <v>18.643999999999998</v>
      </c>
      <c r="C142">
        <v>18.75</v>
      </c>
    </row>
    <row r="143" spans="1:3" x14ac:dyDescent="0.35">
      <c r="A143" t="s">
        <v>260</v>
      </c>
      <c r="B143">
        <v>26.3</v>
      </c>
      <c r="C143">
        <v>26.533999999999999</v>
      </c>
    </row>
    <row r="144" spans="1:3" x14ac:dyDescent="0.35">
      <c r="A144" t="s">
        <v>261</v>
      </c>
      <c r="B144">
        <v>26.533999999999999</v>
      </c>
      <c r="C144">
        <v>27.154</v>
      </c>
    </row>
    <row r="145" spans="1:9" x14ac:dyDescent="0.35">
      <c r="A145" t="s">
        <v>262</v>
      </c>
      <c r="B145">
        <v>27.154</v>
      </c>
      <c r="C145">
        <v>27.2</v>
      </c>
    </row>
    <row r="146" spans="1:9" x14ac:dyDescent="0.35">
      <c r="A146" t="s">
        <v>263</v>
      </c>
      <c r="B146">
        <v>27.5</v>
      </c>
      <c r="C146">
        <v>28.184999999999999</v>
      </c>
    </row>
    <row r="147" spans="1:9" x14ac:dyDescent="0.35">
      <c r="A147" t="s">
        <v>264</v>
      </c>
      <c r="B147">
        <v>28.184999999999999</v>
      </c>
      <c r="C147">
        <v>29.3</v>
      </c>
    </row>
    <row r="148" spans="1:9" x14ac:dyDescent="0.35">
      <c r="A148" t="s">
        <v>265</v>
      </c>
      <c r="B148">
        <v>29.3</v>
      </c>
      <c r="C148">
        <v>30.77</v>
      </c>
    </row>
    <row r="149" spans="1:9" x14ac:dyDescent="0.35">
      <c r="A149" t="s">
        <v>266</v>
      </c>
      <c r="B149">
        <v>30.77</v>
      </c>
      <c r="C149">
        <v>32.078000000000003</v>
      </c>
    </row>
    <row r="150" spans="1:9" x14ac:dyDescent="0.35">
      <c r="A150" t="s">
        <v>267</v>
      </c>
      <c r="B150">
        <v>32.078000000000003</v>
      </c>
      <c r="C150">
        <v>33.207000000000001</v>
      </c>
    </row>
    <row r="151" spans="1:9" x14ac:dyDescent="0.35">
      <c r="A151" t="s">
        <v>268</v>
      </c>
      <c r="B151">
        <v>33.207000000000001</v>
      </c>
      <c r="C151">
        <v>33.4</v>
      </c>
    </row>
    <row r="152" spans="1:9" x14ac:dyDescent="0.35">
      <c r="A152" t="s">
        <v>269</v>
      </c>
      <c r="B152">
        <v>27.5</v>
      </c>
      <c r="C152">
        <v>27.895</v>
      </c>
    </row>
    <row r="153" spans="1:9" x14ac:dyDescent="0.35">
      <c r="A153" t="s">
        <v>270</v>
      </c>
      <c r="B153">
        <v>27.895</v>
      </c>
      <c r="C153">
        <v>28.934999999999999</v>
      </c>
    </row>
    <row r="154" spans="1:9" x14ac:dyDescent="0.35">
      <c r="A154" t="s">
        <v>271</v>
      </c>
      <c r="B154">
        <v>28.934999999999999</v>
      </c>
      <c r="C154">
        <v>30.49</v>
      </c>
      <c r="I154">
        <f>4998+3600+3600</f>
        <v>12198</v>
      </c>
    </row>
    <row r="155" spans="1:9" x14ac:dyDescent="0.35">
      <c r="A155" t="s">
        <v>272</v>
      </c>
      <c r="B155">
        <v>30.49</v>
      </c>
      <c r="C155">
        <v>31.395</v>
      </c>
    </row>
    <row r="156" spans="1:9" x14ac:dyDescent="0.35">
      <c r="A156" t="s">
        <v>273</v>
      </c>
      <c r="B156">
        <v>31.395</v>
      </c>
      <c r="C156">
        <v>32.83</v>
      </c>
    </row>
    <row r="157" spans="1:9" x14ac:dyDescent="0.35">
      <c r="A157" t="s">
        <v>274</v>
      </c>
      <c r="B157">
        <v>32.83</v>
      </c>
      <c r="C157">
        <v>32.987000000000002</v>
      </c>
    </row>
    <row r="158" spans="1:9" x14ac:dyDescent="0.35">
      <c r="A158" t="s">
        <v>275</v>
      </c>
      <c r="B158">
        <v>32.987000000000002</v>
      </c>
      <c r="C158">
        <v>33.5</v>
      </c>
    </row>
    <row r="159" spans="1:9" x14ac:dyDescent="0.35">
      <c r="A159" t="s">
        <v>276</v>
      </c>
      <c r="B159">
        <v>30.2</v>
      </c>
      <c r="C159">
        <v>30.952000000000002</v>
      </c>
    </row>
    <row r="160" spans="1:9" x14ac:dyDescent="0.35">
      <c r="A160" t="s">
        <v>277</v>
      </c>
      <c r="B160">
        <v>30.952000000000002</v>
      </c>
      <c r="C160">
        <v>32.078000000000003</v>
      </c>
    </row>
    <row r="161" spans="1:3" x14ac:dyDescent="0.35">
      <c r="A161" t="s">
        <v>278</v>
      </c>
      <c r="B161">
        <v>32.078000000000003</v>
      </c>
      <c r="C161">
        <v>32.700000000000003</v>
      </c>
    </row>
    <row r="162" spans="1:3" x14ac:dyDescent="0.35">
      <c r="A162" t="s">
        <v>279</v>
      </c>
      <c r="B162">
        <v>32.700000000000003</v>
      </c>
      <c r="C162">
        <v>33.243000000000002</v>
      </c>
    </row>
    <row r="163" spans="1:3" x14ac:dyDescent="0.35">
      <c r="A163" t="s">
        <v>280</v>
      </c>
      <c r="B163">
        <v>33.243000000000002</v>
      </c>
      <c r="C163">
        <v>34.6</v>
      </c>
    </row>
    <row r="164" spans="1:3" x14ac:dyDescent="0.35">
      <c r="A164" t="s">
        <v>281</v>
      </c>
      <c r="B164">
        <v>34.6</v>
      </c>
      <c r="C164">
        <v>35.959000000000003</v>
      </c>
    </row>
    <row r="165" spans="1:3" x14ac:dyDescent="0.35">
      <c r="A165" t="s">
        <v>282</v>
      </c>
      <c r="B165">
        <v>35.959000000000003</v>
      </c>
      <c r="C165">
        <v>37.594000000000001</v>
      </c>
    </row>
    <row r="166" spans="1:3" x14ac:dyDescent="0.35">
      <c r="A166" t="s">
        <v>283</v>
      </c>
      <c r="B166">
        <v>37.594000000000001</v>
      </c>
      <c r="C166">
        <v>39.338999999999999</v>
      </c>
    </row>
    <row r="167" spans="1:3" x14ac:dyDescent="0.35">
      <c r="A167" t="s">
        <v>284</v>
      </c>
      <c r="B167">
        <v>39.338999999999999</v>
      </c>
      <c r="C167">
        <v>41.168999999999997</v>
      </c>
    </row>
    <row r="168" spans="1:3" x14ac:dyDescent="0.35">
      <c r="A168" t="s">
        <v>285</v>
      </c>
      <c r="B168">
        <v>41.168999999999997</v>
      </c>
      <c r="C168">
        <v>43.024000000000001</v>
      </c>
    </row>
    <row r="169" spans="1:3" x14ac:dyDescent="0.35">
      <c r="A169" t="s">
        <v>286</v>
      </c>
      <c r="B169">
        <v>43.024000000000001</v>
      </c>
      <c r="C169">
        <v>44.497</v>
      </c>
    </row>
    <row r="170" spans="1:3" x14ac:dyDescent="0.35">
      <c r="A170" t="s">
        <v>287</v>
      </c>
      <c r="B170">
        <v>44.497</v>
      </c>
      <c r="C170">
        <v>46.097000000000001</v>
      </c>
    </row>
    <row r="171" spans="1:3" x14ac:dyDescent="0.35">
      <c r="A171" t="s">
        <v>288</v>
      </c>
      <c r="B171">
        <v>46.097000000000001</v>
      </c>
      <c r="C171">
        <v>47.494999999999997</v>
      </c>
    </row>
    <row r="172" spans="1:3" x14ac:dyDescent="0.35">
      <c r="A172" t="s">
        <v>289</v>
      </c>
      <c r="B172">
        <v>47.494999999999997</v>
      </c>
      <c r="C172">
        <v>49.08</v>
      </c>
    </row>
    <row r="173" spans="1:3" x14ac:dyDescent="0.35">
      <c r="A173" t="s">
        <v>290</v>
      </c>
      <c r="B173">
        <v>49.08</v>
      </c>
      <c r="C173">
        <v>50.656999999999996</v>
      </c>
    </row>
    <row r="174" spans="1:3" x14ac:dyDescent="0.35">
      <c r="A174" t="s">
        <v>291</v>
      </c>
      <c r="B174">
        <v>50.656999999999996</v>
      </c>
      <c r="C174">
        <v>52.033000000000001</v>
      </c>
    </row>
    <row r="175" spans="1:3" x14ac:dyDescent="0.35">
      <c r="A175" t="s">
        <v>292</v>
      </c>
      <c r="B175">
        <v>52.033000000000001</v>
      </c>
      <c r="C175">
        <v>53.112000000000002</v>
      </c>
    </row>
    <row r="176" spans="1:3" x14ac:dyDescent="0.35">
      <c r="A176" t="s">
        <v>293</v>
      </c>
      <c r="B176">
        <v>53.112000000000002</v>
      </c>
      <c r="C176">
        <v>54.484999999999999</v>
      </c>
    </row>
    <row r="177" spans="1:3" x14ac:dyDescent="0.35">
      <c r="A177" t="s">
        <v>294</v>
      </c>
      <c r="B177">
        <v>54.484999999999999</v>
      </c>
      <c r="C177">
        <v>55.9</v>
      </c>
    </row>
    <row r="178" spans="1:3" x14ac:dyDescent="0.35">
      <c r="A178" t="s">
        <v>295</v>
      </c>
      <c r="B178">
        <v>55.9</v>
      </c>
      <c r="C178">
        <v>57.25</v>
      </c>
    </row>
    <row r="179" spans="1:3" x14ac:dyDescent="0.35">
      <c r="A179" t="s">
        <v>296</v>
      </c>
      <c r="B179">
        <v>57.25</v>
      </c>
      <c r="C179">
        <v>58.789000000000001</v>
      </c>
    </row>
    <row r="180" spans="1:3" x14ac:dyDescent="0.35">
      <c r="A180" t="s">
        <v>297</v>
      </c>
      <c r="B180">
        <v>58.789000000000001</v>
      </c>
      <c r="C180">
        <v>59.845999999999997</v>
      </c>
    </row>
    <row r="181" spans="1:3" x14ac:dyDescent="0.35">
      <c r="A181" t="s">
        <v>298</v>
      </c>
      <c r="B181">
        <v>59.845999999999997</v>
      </c>
      <c r="C181">
        <v>61.518000000000001</v>
      </c>
    </row>
    <row r="182" spans="1:3" x14ac:dyDescent="0.35">
      <c r="A182" t="s">
        <v>299</v>
      </c>
      <c r="B182">
        <v>61.518000000000001</v>
      </c>
      <c r="C182">
        <v>63.128</v>
      </c>
    </row>
    <row r="183" spans="1:3" x14ac:dyDescent="0.35">
      <c r="A183" t="s">
        <v>300</v>
      </c>
      <c r="B183">
        <v>63.128</v>
      </c>
      <c r="C183">
        <v>64.762</v>
      </c>
    </row>
    <row r="184" spans="1:3" x14ac:dyDescent="0.35">
      <c r="A184" t="s">
        <v>301</v>
      </c>
      <c r="B184">
        <v>64.762</v>
      </c>
      <c r="C184">
        <v>66.111999999999995</v>
      </c>
    </row>
    <row r="185" spans="1:3" x14ac:dyDescent="0.35">
      <c r="A185" t="s">
        <v>302</v>
      </c>
      <c r="B185">
        <v>66.111999999999995</v>
      </c>
      <c r="C185">
        <v>67.53</v>
      </c>
    </row>
    <row r="186" spans="1:3" x14ac:dyDescent="0.35">
      <c r="A186" t="s">
        <v>303</v>
      </c>
      <c r="B186">
        <v>67.53</v>
      </c>
      <c r="C186">
        <v>68.900000000000006</v>
      </c>
    </row>
    <row r="187" spans="1:3" x14ac:dyDescent="0.35">
      <c r="A187" t="s">
        <v>304</v>
      </c>
      <c r="B187">
        <v>68.900000000000006</v>
      </c>
      <c r="C187">
        <v>70.349999999999994</v>
      </c>
    </row>
    <row r="188" spans="1:3" x14ac:dyDescent="0.35">
      <c r="A188" t="s">
        <v>305</v>
      </c>
      <c r="B188">
        <v>70.349999999999994</v>
      </c>
      <c r="C188">
        <v>71.86</v>
      </c>
    </row>
    <row r="189" spans="1:3" x14ac:dyDescent="0.35">
      <c r="A189" t="s">
        <v>306</v>
      </c>
      <c r="B189">
        <v>71.86</v>
      </c>
      <c r="C189">
        <v>73.210999999999999</v>
      </c>
    </row>
    <row r="190" spans="1:3" x14ac:dyDescent="0.35">
      <c r="A190" t="s">
        <v>307</v>
      </c>
      <c r="B190">
        <v>73.210999999999999</v>
      </c>
      <c r="C190">
        <v>74.593000000000004</v>
      </c>
    </row>
    <row r="191" spans="1:3" x14ac:dyDescent="0.35">
      <c r="A191" t="s">
        <v>308</v>
      </c>
      <c r="B191">
        <v>74.593000000000004</v>
      </c>
      <c r="C191">
        <v>76.055999999999997</v>
      </c>
    </row>
    <row r="192" spans="1:3" x14ac:dyDescent="0.35">
      <c r="A192" t="s">
        <v>309</v>
      </c>
      <c r="B192">
        <v>76.055999999999997</v>
      </c>
      <c r="C192">
        <v>77.81</v>
      </c>
    </row>
    <row r="193" spans="1:3" x14ac:dyDescent="0.35">
      <c r="A193" t="s">
        <v>502</v>
      </c>
      <c r="B193">
        <v>77.81</v>
      </c>
      <c r="C193">
        <v>78.751999999999995</v>
      </c>
    </row>
    <row r="194" spans="1:3" x14ac:dyDescent="0.35">
      <c r="A194" t="s">
        <v>310</v>
      </c>
      <c r="B194">
        <v>30.06</v>
      </c>
      <c r="C194">
        <v>30.57</v>
      </c>
    </row>
    <row r="195" spans="1:3" x14ac:dyDescent="0.35">
      <c r="A195" t="s">
        <v>311</v>
      </c>
      <c r="B195">
        <v>30.57</v>
      </c>
      <c r="C195">
        <v>31.475000000000001</v>
      </c>
    </row>
    <row r="196" spans="1:3" x14ac:dyDescent="0.35">
      <c r="A196" t="s">
        <v>312</v>
      </c>
      <c r="B196">
        <v>31.475000000000001</v>
      </c>
      <c r="C196">
        <v>32.905000000000001</v>
      </c>
    </row>
    <row r="197" spans="1:3" x14ac:dyDescent="0.35">
      <c r="A197" t="s">
        <v>313</v>
      </c>
      <c r="B197">
        <v>32.905000000000001</v>
      </c>
      <c r="C197">
        <v>34.212000000000003</v>
      </c>
    </row>
    <row r="198" spans="1:3" x14ac:dyDescent="0.35">
      <c r="A198" t="s">
        <v>314</v>
      </c>
      <c r="B198">
        <v>34.212000000000003</v>
      </c>
      <c r="C198">
        <v>36.012</v>
      </c>
    </row>
    <row r="199" spans="1:3" x14ac:dyDescent="0.35">
      <c r="A199" t="s">
        <v>315</v>
      </c>
      <c r="B199">
        <v>36.012</v>
      </c>
      <c r="C199">
        <v>37.646999999999998</v>
      </c>
    </row>
    <row r="200" spans="1:3" x14ac:dyDescent="0.35">
      <c r="A200" t="s">
        <v>316</v>
      </c>
      <c r="B200">
        <v>37.646999999999998</v>
      </c>
      <c r="C200">
        <v>39.392000000000003</v>
      </c>
    </row>
    <row r="201" spans="1:3" x14ac:dyDescent="0.35">
      <c r="A201" t="s">
        <v>317</v>
      </c>
      <c r="B201">
        <v>39.392000000000003</v>
      </c>
      <c r="C201">
        <v>41.222000000000001</v>
      </c>
    </row>
    <row r="202" spans="1:3" x14ac:dyDescent="0.35">
      <c r="A202" t="s">
        <v>318</v>
      </c>
      <c r="B202">
        <v>41.222000000000001</v>
      </c>
      <c r="C202">
        <v>42.746000000000002</v>
      </c>
    </row>
    <row r="203" spans="1:3" x14ac:dyDescent="0.35">
      <c r="A203" t="s">
        <v>319</v>
      </c>
      <c r="B203">
        <v>42.746000000000002</v>
      </c>
      <c r="C203">
        <v>44.122</v>
      </c>
    </row>
    <row r="204" spans="1:3" x14ac:dyDescent="0.35">
      <c r="A204" t="s">
        <v>320</v>
      </c>
      <c r="B204">
        <v>44.122</v>
      </c>
      <c r="C204">
        <v>45.350999999999999</v>
      </c>
    </row>
    <row r="205" spans="1:3" x14ac:dyDescent="0.35">
      <c r="A205" t="s">
        <v>321</v>
      </c>
      <c r="B205">
        <v>45.350999999999999</v>
      </c>
      <c r="C205">
        <v>46.847000000000001</v>
      </c>
    </row>
    <row r="206" spans="1:3" x14ac:dyDescent="0.35">
      <c r="A206" t="s">
        <v>322</v>
      </c>
      <c r="B206">
        <v>46.847000000000001</v>
      </c>
      <c r="C206">
        <v>47.494999999999997</v>
      </c>
    </row>
    <row r="207" spans="1:3" x14ac:dyDescent="0.35">
      <c r="A207" t="s">
        <v>323</v>
      </c>
      <c r="B207">
        <v>47.494999999999997</v>
      </c>
      <c r="C207">
        <v>48.4</v>
      </c>
    </row>
    <row r="208" spans="1:3" x14ac:dyDescent="0.35">
      <c r="A208" t="s">
        <v>324</v>
      </c>
      <c r="B208">
        <v>48.4</v>
      </c>
      <c r="C208">
        <v>49.08</v>
      </c>
    </row>
    <row r="209" spans="1:3" x14ac:dyDescent="0.35">
      <c r="A209" t="s">
        <v>325</v>
      </c>
      <c r="B209">
        <v>49.08</v>
      </c>
      <c r="C209">
        <v>50.656999999999996</v>
      </c>
    </row>
    <row r="210" spans="1:3" x14ac:dyDescent="0.35">
      <c r="A210" t="s">
        <v>326</v>
      </c>
      <c r="B210">
        <v>50.656999999999996</v>
      </c>
      <c r="C210">
        <v>52.033000000000001</v>
      </c>
    </row>
    <row r="211" spans="1:3" x14ac:dyDescent="0.35">
      <c r="A211" t="s">
        <v>327</v>
      </c>
      <c r="B211">
        <v>52.033000000000001</v>
      </c>
      <c r="C211">
        <v>53.112000000000002</v>
      </c>
    </row>
    <row r="212" spans="1:3" x14ac:dyDescent="0.35">
      <c r="A212" t="s">
        <v>328</v>
      </c>
      <c r="B212">
        <v>53.112000000000002</v>
      </c>
      <c r="C212">
        <v>54.484999999999999</v>
      </c>
    </row>
    <row r="213" spans="1:3" x14ac:dyDescent="0.35">
      <c r="A213" t="s">
        <v>329</v>
      </c>
      <c r="B213">
        <v>54.484999999999999</v>
      </c>
      <c r="C213">
        <v>55.9</v>
      </c>
    </row>
    <row r="214" spans="1:3" x14ac:dyDescent="0.35">
      <c r="A214" t="s">
        <v>330</v>
      </c>
      <c r="B214">
        <v>55.9</v>
      </c>
      <c r="C214">
        <v>57.25</v>
      </c>
    </row>
    <row r="215" spans="1:3" x14ac:dyDescent="0.35">
      <c r="A215" t="s">
        <v>331</v>
      </c>
      <c r="B215">
        <v>57.25</v>
      </c>
      <c r="C215">
        <v>58.789000000000001</v>
      </c>
    </row>
    <row r="216" spans="1:3" x14ac:dyDescent="0.35">
      <c r="A216" t="s">
        <v>332</v>
      </c>
      <c r="B216">
        <v>58.789000000000001</v>
      </c>
      <c r="C216">
        <v>59.845999999999997</v>
      </c>
    </row>
    <row r="217" spans="1:3" x14ac:dyDescent="0.35">
      <c r="A217" t="s">
        <v>333</v>
      </c>
      <c r="B217">
        <v>59.845999999999997</v>
      </c>
      <c r="C217">
        <v>61.518000000000001</v>
      </c>
    </row>
    <row r="218" spans="1:3" x14ac:dyDescent="0.35">
      <c r="A218" t="s">
        <v>334</v>
      </c>
      <c r="B218">
        <v>61.518000000000001</v>
      </c>
      <c r="C218">
        <v>63.128</v>
      </c>
    </row>
    <row r="219" spans="1:3" x14ac:dyDescent="0.35">
      <c r="A219" t="s">
        <v>335</v>
      </c>
      <c r="B219">
        <v>63.128</v>
      </c>
      <c r="C219">
        <v>64.123999999999995</v>
      </c>
    </row>
    <row r="220" spans="1:3" x14ac:dyDescent="0.35">
      <c r="A220" t="s">
        <v>336</v>
      </c>
      <c r="B220">
        <v>64.123999999999995</v>
      </c>
      <c r="C220">
        <v>65.724999999999994</v>
      </c>
    </row>
    <row r="221" spans="1:3" x14ac:dyDescent="0.35">
      <c r="A221" t="s">
        <v>337</v>
      </c>
      <c r="B221">
        <v>65.724999999999994</v>
      </c>
      <c r="C221">
        <v>67.183999999999997</v>
      </c>
    </row>
    <row r="222" spans="1:3" x14ac:dyDescent="0.35">
      <c r="A222" t="s">
        <v>338</v>
      </c>
      <c r="B222">
        <v>67.183999999999997</v>
      </c>
      <c r="C222">
        <v>67.53</v>
      </c>
    </row>
    <row r="223" spans="1:3" x14ac:dyDescent="0.35">
      <c r="A223" t="s">
        <v>339</v>
      </c>
      <c r="B223">
        <v>67.53</v>
      </c>
      <c r="C223">
        <v>68.900000000000006</v>
      </c>
    </row>
    <row r="224" spans="1:3" x14ac:dyDescent="0.35">
      <c r="A224" t="s">
        <v>340</v>
      </c>
      <c r="B224">
        <v>68.900000000000006</v>
      </c>
      <c r="C224">
        <v>69.897999999999996</v>
      </c>
    </row>
    <row r="225" spans="1:3" x14ac:dyDescent="0.35">
      <c r="A225" t="s">
        <v>341</v>
      </c>
      <c r="B225">
        <v>69.897999999999996</v>
      </c>
      <c r="C225">
        <v>71.36</v>
      </c>
    </row>
    <row r="226" spans="1:3" x14ac:dyDescent="0.35">
      <c r="A226" t="s">
        <v>342</v>
      </c>
      <c r="B226">
        <v>71.36</v>
      </c>
      <c r="C226">
        <v>72.739999999999995</v>
      </c>
    </row>
    <row r="227" spans="1:3" x14ac:dyDescent="0.35">
      <c r="A227" t="s">
        <v>343</v>
      </c>
      <c r="B227">
        <v>72.739999999999995</v>
      </c>
      <c r="C227">
        <v>74.245000000000005</v>
      </c>
    </row>
    <row r="228" spans="1:3" x14ac:dyDescent="0.35">
      <c r="A228" t="s">
        <v>344</v>
      </c>
      <c r="B228">
        <v>74.245000000000005</v>
      </c>
      <c r="C228">
        <v>75.742000000000004</v>
      </c>
    </row>
    <row r="229" spans="1:3" x14ac:dyDescent="0.35">
      <c r="A229" t="s">
        <v>345</v>
      </c>
      <c r="B229">
        <v>75.742000000000004</v>
      </c>
      <c r="C229">
        <v>77.278999999999996</v>
      </c>
    </row>
    <row r="230" spans="1:3" x14ac:dyDescent="0.35">
      <c r="A230" t="s">
        <v>346</v>
      </c>
      <c r="B230">
        <v>77.278999999999996</v>
      </c>
      <c r="C230">
        <v>78.751999999999995</v>
      </c>
    </row>
    <row r="231" spans="1:3" x14ac:dyDescent="0.35">
      <c r="A231" t="s">
        <v>347</v>
      </c>
      <c r="B231">
        <v>28.7</v>
      </c>
      <c r="C231">
        <v>28.934999999999999</v>
      </c>
    </row>
    <row r="232" spans="1:3" x14ac:dyDescent="0.35">
      <c r="A232" t="s">
        <v>348</v>
      </c>
      <c r="B232">
        <v>28.934999999999999</v>
      </c>
      <c r="C232">
        <v>29.372</v>
      </c>
    </row>
    <row r="233" spans="1:3" x14ac:dyDescent="0.35">
      <c r="A233" t="s">
        <v>349</v>
      </c>
      <c r="B233">
        <v>29.372</v>
      </c>
      <c r="C233">
        <v>29.5</v>
      </c>
    </row>
    <row r="234" spans="1:3" x14ac:dyDescent="0.35">
      <c r="A234" t="s">
        <v>350</v>
      </c>
      <c r="B234">
        <v>32.69</v>
      </c>
      <c r="C234">
        <v>32.83</v>
      </c>
    </row>
    <row r="235" spans="1:3" x14ac:dyDescent="0.35">
      <c r="A235" t="s">
        <v>351</v>
      </c>
      <c r="B235">
        <v>32.83</v>
      </c>
      <c r="C235">
        <v>32.987000000000002</v>
      </c>
    </row>
    <row r="236" spans="1:3" x14ac:dyDescent="0.35">
      <c r="A236" t="s">
        <v>352</v>
      </c>
      <c r="B236">
        <v>32.987000000000002</v>
      </c>
      <c r="C236">
        <v>33.338999999999999</v>
      </c>
    </row>
    <row r="237" spans="1:3" x14ac:dyDescent="0.35">
      <c r="A237" t="s">
        <v>353</v>
      </c>
      <c r="B237">
        <v>33.338999999999999</v>
      </c>
      <c r="C237">
        <v>33.619999999999997</v>
      </c>
    </row>
    <row r="238" spans="1:3" x14ac:dyDescent="0.35">
      <c r="A238" t="s">
        <v>354</v>
      </c>
      <c r="B238">
        <v>33.619999999999997</v>
      </c>
      <c r="C238">
        <v>34.218000000000004</v>
      </c>
    </row>
    <row r="239" spans="1:3" x14ac:dyDescent="0.35">
      <c r="A239" t="s">
        <v>355</v>
      </c>
      <c r="B239">
        <v>34.218000000000004</v>
      </c>
      <c r="C239">
        <v>35.618000000000002</v>
      </c>
    </row>
    <row r="240" spans="1:3" x14ac:dyDescent="0.35">
      <c r="A240" t="s">
        <v>356</v>
      </c>
      <c r="B240">
        <v>35.618000000000002</v>
      </c>
      <c r="C240">
        <v>35.941000000000003</v>
      </c>
    </row>
    <row r="241" spans="1:3" x14ac:dyDescent="0.35">
      <c r="A241" t="s">
        <v>357</v>
      </c>
      <c r="B241">
        <v>35.941000000000003</v>
      </c>
      <c r="C241">
        <v>37.140999999999998</v>
      </c>
    </row>
    <row r="242" spans="1:3" x14ac:dyDescent="0.35">
      <c r="A242" t="s">
        <v>358</v>
      </c>
      <c r="B242">
        <v>37.140999999999998</v>
      </c>
      <c r="C242">
        <v>37.726999999999997</v>
      </c>
    </row>
    <row r="243" spans="1:3" x14ac:dyDescent="0.35">
      <c r="A243" t="s">
        <v>359</v>
      </c>
      <c r="B243">
        <v>37.726999999999997</v>
      </c>
      <c r="C243">
        <v>38.198999999999998</v>
      </c>
    </row>
    <row r="244" spans="1:3" x14ac:dyDescent="0.35">
      <c r="A244" t="s">
        <v>360</v>
      </c>
      <c r="B244">
        <v>32.72</v>
      </c>
      <c r="C244">
        <v>32.837000000000003</v>
      </c>
    </row>
    <row r="245" spans="1:3" x14ac:dyDescent="0.35">
      <c r="A245" t="s">
        <v>361</v>
      </c>
      <c r="B245">
        <v>32.837000000000003</v>
      </c>
      <c r="C245">
        <v>32.987000000000002</v>
      </c>
    </row>
    <row r="246" spans="1:3" x14ac:dyDescent="0.35">
      <c r="A246" t="s">
        <v>362</v>
      </c>
      <c r="B246">
        <v>32.987000000000002</v>
      </c>
      <c r="C246">
        <v>33.375999999999998</v>
      </c>
    </row>
    <row r="247" spans="1:3" x14ac:dyDescent="0.35">
      <c r="A247" t="s">
        <v>363</v>
      </c>
      <c r="B247">
        <v>33.375999999999998</v>
      </c>
      <c r="C247">
        <v>33.619999999999997</v>
      </c>
    </row>
    <row r="248" spans="1:3" x14ac:dyDescent="0.35">
      <c r="A248" t="s">
        <v>364</v>
      </c>
      <c r="B248">
        <v>33.619999999999997</v>
      </c>
      <c r="C248">
        <v>33.65</v>
      </c>
    </row>
    <row r="249" spans="1:3" x14ac:dyDescent="0.35">
      <c r="A249" t="s">
        <v>365</v>
      </c>
      <c r="B249">
        <v>33.033999999999999</v>
      </c>
      <c r="C249">
        <v>33.253</v>
      </c>
    </row>
    <row r="250" spans="1:3" x14ac:dyDescent="0.35">
      <c r="A250" t="s">
        <v>366</v>
      </c>
      <c r="B250">
        <v>33.253</v>
      </c>
      <c r="C250">
        <v>33.338999999999999</v>
      </c>
    </row>
    <row r="251" spans="1:3" x14ac:dyDescent="0.35">
      <c r="A251" t="s">
        <v>367</v>
      </c>
      <c r="B251">
        <v>33.338999999999999</v>
      </c>
      <c r="C251">
        <v>33.5</v>
      </c>
    </row>
    <row r="252" spans="1:3" x14ac:dyDescent="0.35">
      <c r="A252" t="s">
        <v>368</v>
      </c>
      <c r="B252">
        <v>45.27</v>
      </c>
      <c r="C252">
        <v>45.350999999999999</v>
      </c>
    </row>
    <row r="253" spans="1:3" x14ac:dyDescent="0.35">
      <c r="A253" t="s">
        <v>369</v>
      </c>
      <c r="B253">
        <v>45.350999999999999</v>
      </c>
      <c r="C253">
        <v>46.097000000000001</v>
      </c>
    </row>
    <row r="254" spans="1:3" x14ac:dyDescent="0.35">
      <c r="A254" t="s">
        <v>370</v>
      </c>
      <c r="B254">
        <v>46.097000000000001</v>
      </c>
      <c r="C254">
        <v>46.2</v>
      </c>
    </row>
    <row r="255" spans="1:3" x14ac:dyDescent="0.35">
      <c r="A255" t="s">
        <v>371</v>
      </c>
      <c r="B255">
        <v>44.91</v>
      </c>
      <c r="C255">
        <v>45.04</v>
      </c>
    </row>
    <row r="256" spans="1:3" x14ac:dyDescent="0.35">
      <c r="A256" t="s">
        <v>372</v>
      </c>
      <c r="B256">
        <v>45.04</v>
      </c>
      <c r="C256">
        <v>45.79</v>
      </c>
    </row>
    <row r="257" spans="1:3" x14ac:dyDescent="0.35">
      <c r="A257" t="s">
        <v>373</v>
      </c>
      <c r="B257">
        <v>45.79</v>
      </c>
      <c r="C257">
        <v>45.9</v>
      </c>
    </row>
    <row r="258" spans="1:3" x14ac:dyDescent="0.35">
      <c r="A258" t="s">
        <v>374</v>
      </c>
      <c r="B258">
        <v>45.9</v>
      </c>
      <c r="C258">
        <v>46.097999999999999</v>
      </c>
    </row>
    <row r="259" spans="1:3" x14ac:dyDescent="0.35">
      <c r="A259" t="s">
        <v>375</v>
      </c>
      <c r="B259">
        <v>46.1</v>
      </c>
      <c r="C259">
        <v>46.3</v>
      </c>
    </row>
    <row r="260" spans="1:3" x14ac:dyDescent="0.35">
      <c r="A260" t="s">
        <v>376</v>
      </c>
      <c r="B260">
        <v>32.4</v>
      </c>
      <c r="C260">
        <v>32.5</v>
      </c>
    </row>
    <row r="261" spans="1:3" x14ac:dyDescent="0.35">
      <c r="A261" t="s">
        <v>377</v>
      </c>
      <c r="B261">
        <v>32.5</v>
      </c>
      <c r="C261">
        <v>32.774000000000001</v>
      </c>
    </row>
    <row r="262" spans="1:3" x14ac:dyDescent="0.35">
      <c r="A262" t="s">
        <v>378</v>
      </c>
      <c r="B262">
        <v>32.774000000000001</v>
      </c>
      <c r="C262">
        <v>32.981999999999999</v>
      </c>
    </row>
    <row r="263" spans="1:3" x14ac:dyDescent="0.35">
      <c r="A263" t="s">
        <v>379</v>
      </c>
      <c r="B263">
        <v>32.65</v>
      </c>
      <c r="C263">
        <v>32.774000000000001</v>
      </c>
    </row>
    <row r="264" spans="1:3" x14ac:dyDescent="0.35">
      <c r="A264" t="s">
        <v>380</v>
      </c>
      <c r="B264">
        <v>32.774000000000001</v>
      </c>
      <c r="C264">
        <v>32.981999999999999</v>
      </c>
    </row>
    <row r="265" spans="1:3" x14ac:dyDescent="0.35">
      <c r="A265" t="s">
        <v>381</v>
      </c>
      <c r="B265">
        <v>32.5</v>
      </c>
      <c r="C265">
        <v>32.905000000000001</v>
      </c>
    </row>
    <row r="266" spans="1:3" x14ac:dyDescent="0.35">
      <c r="A266" t="s">
        <v>382</v>
      </c>
      <c r="B266">
        <v>32.905000000000001</v>
      </c>
      <c r="C266">
        <v>33.299999999999997</v>
      </c>
    </row>
    <row r="267" spans="1:3" x14ac:dyDescent="0.35">
      <c r="A267" t="s">
        <v>383</v>
      </c>
      <c r="B267">
        <v>33.299999999999997</v>
      </c>
      <c r="C267">
        <v>33.322000000000003</v>
      </c>
    </row>
    <row r="268" spans="1:3" x14ac:dyDescent="0.35">
      <c r="A268" t="s">
        <v>384</v>
      </c>
      <c r="B268">
        <v>32.700000000000003</v>
      </c>
      <c r="C268">
        <v>32.734999999999999</v>
      </c>
    </row>
    <row r="269" spans="1:3" x14ac:dyDescent="0.35">
      <c r="A269" t="s">
        <v>385</v>
      </c>
      <c r="B269">
        <v>32.734999999999999</v>
      </c>
      <c r="C269">
        <v>32.905000000000001</v>
      </c>
    </row>
    <row r="270" spans="1:3" x14ac:dyDescent="0.35">
      <c r="A270" t="s">
        <v>386</v>
      </c>
      <c r="B270">
        <v>32.905000000000001</v>
      </c>
      <c r="C270">
        <v>33.322000000000003</v>
      </c>
    </row>
    <row r="271" spans="1:3" x14ac:dyDescent="0.35">
      <c r="A271" t="s">
        <v>387</v>
      </c>
      <c r="B271">
        <v>33.322000000000003</v>
      </c>
      <c r="C271">
        <v>33.5</v>
      </c>
    </row>
    <row r="272" spans="1:3" x14ac:dyDescent="0.35">
      <c r="A272" t="s">
        <v>388</v>
      </c>
      <c r="B272">
        <v>63.360999999999997</v>
      </c>
      <c r="C272">
        <v>63.887</v>
      </c>
    </row>
    <row r="273" spans="1:3" x14ac:dyDescent="0.35">
      <c r="A273" t="s">
        <v>389</v>
      </c>
      <c r="B273">
        <v>63.887</v>
      </c>
      <c r="C273">
        <v>64.213999999999999</v>
      </c>
    </row>
    <row r="274" spans="1:3" x14ac:dyDescent="0.35">
      <c r="A274" t="s">
        <v>390</v>
      </c>
      <c r="B274">
        <v>64.213999999999999</v>
      </c>
      <c r="C274">
        <v>64.793999999999997</v>
      </c>
    </row>
    <row r="275" spans="1:3" x14ac:dyDescent="0.35">
      <c r="A275" t="s">
        <v>391</v>
      </c>
      <c r="B275">
        <v>64.793999999999997</v>
      </c>
      <c r="C275">
        <v>65.599999999999994</v>
      </c>
    </row>
    <row r="276" spans="1:3" x14ac:dyDescent="0.35">
      <c r="A276" t="s">
        <v>392</v>
      </c>
      <c r="B276">
        <v>65.599999999999994</v>
      </c>
      <c r="C276">
        <v>65.724999999999994</v>
      </c>
    </row>
    <row r="277" spans="1:3" x14ac:dyDescent="0.35">
      <c r="A277" t="s">
        <v>393</v>
      </c>
      <c r="B277">
        <v>65.724999999999994</v>
      </c>
      <c r="C277">
        <v>66.13</v>
      </c>
    </row>
    <row r="278" spans="1:3" x14ac:dyDescent="0.35">
      <c r="A278" t="s">
        <v>394</v>
      </c>
      <c r="B278">
        <v>66.13</v>
      </c>
      <c r="C278">
        <v>66.16</v>
      </c>
    </row>
    <row r="279" spans="1:3" x14ac:dyDescent="0.35">
      <c r="A279" t="s">
        <v>395</v>
      </c>
      <c r="B279">
        <v>65.599999999999994</v>
      </c>
      <c r="C279">
        <v>65.64</v>
      </c>
    </row>
    <row r="280" spans="1:3" x14ac:dyDescent="0.35">
      <c r="A280" t="s">
        <v>396</v>
      </c>
      <c r="B280">
        <v>65.64</v>
      </c>
      <c r="C280">
        <v>65.724999999999994</v>
      </c>
    </row>
    <row r="281" spans="1:3" x14ac:dyDescent="0.35">
      <c r="A281" t="s">
        <v>397</v>
      </c>
      <c r="B281">
        <v>65.724999999999994</v>
      </c>
      <c r="C281">
        <v>66.287000000000006</v>
      </c>
    </row>
    <row r="282" spans="1:3" x14ac:dyDescent="0.35">
      <c r="A282" t="s">
        <v>398</v>
      </c>
      <c r="B282">
        <v>66.287000000000006</v>
      </c>
      <c r="C282">
        <v>66.430000000000007</v>
      </c>
    </row>
    <row r="283" spans="1:3" x14ac:dyDescent="0.35">
      <c r="A283" t="s">
        <v>399</v>
      </c>
      <c r="B283">
        <v>65.7</v>
      </c>
      <c r="C283">
        <v>65.73</v>
      </c>
    </row>
    <row r="284" spans="1:3" x14ac:dyDescent="0.35">
      <c r="A284" t="s">
        <v>400</v>
      </c>
      <c r="B284">
        <v>65.73</v>
      </c>
      <c r="C284">
        <v>66.323999999999998</v>
      </c>
    </row>
    <row r="285" spans="1:3" x14ac:dyDescent="0.35">
      <c r="A285" t="s">
        <v>401</v>
      </c>
      <c r="B285">
        <v>66.323999999999998</v>
      </c>
      <c r="C285">
        <v>66.400000000000006</v>
      </c>
    </row>
    <row r="286" spans="1:3" x14ac:dyDescent="0.35">
      <c r="A286" t="s">
        <v>402</v>
      </c>
      <c r="B286">
        <v>65.760000000000005</v>
      </c>
      <c r="C286">
        <v>65.781999999999996</v>
      </c>
    </row>
    <row r="287" spans="1:3" x14ac:dyDescent="0.35">
      <c r="A287" t="s">
        <v>403</v>
      </c>
      <c r="B287">
        <v>65.781999999999996</v>
      </c>
      <c r="C287">
        <v>66.099999999999994</v>
      </c>
    </row>
    <row r="288" spans="1:3" x14ac:dyDescent="0.35">
      <c r="A288" t="s">
        <v>404</v>
      </c>
      <c r="B288">
        <v>66.099999999999994</v>
      </c>
      <c r="C288">
        <v>66.215000000000003</v>
      </c>
    </row>
    <row r="289" spans="1:3" x14ac:dyDescent="0.35">
      <c r="A289" t="s">
        <v>405</v>
      </c>
      <c r="B289">
        <v>65.715000000000003</v>
      </c>
      <c r="C289">
        <v>65.73</v>
      </c>
    </row>
    <row r="290" spans="1:3" x14ac:dyDescent="0.35">
      <c r="A290" t="s">
        <v>406</v>
      </c>
      <c r="B290">
        <v>65.73</v>
      </c>
      <c r="C290">
        <v>65.78</v>
      </c>
    </row>
    <row r="291" spans="1:3" x14ac:dyDescent="0.35">
      <c r="A291" t="s">
        <v>407</v>
      </c>
      <c r="B291">
        <v>65.78</v>
      </c>
      <c r="C291">
        <v>66.099999999999994</v>
      </c>
    </row>
    <row r="292" spans="1:3" x14ac:dyDescent="0.35">
      <c r="A292" t="s">
        <v>408</v>
      </c>
      <c r="B292">
        <v>66.099999999999994</v>
      </c>
      <c r="C292">
        <v>66.215000000000003</v>
      </c>
    </row>
    <row r="293" spans="1:3" x14ac:dyDescent="0.35">
      <c r="A293" t="s">
        <v>409</v>
      </c>
      <c r="B293">
        <v>65.724999999999994</v>
      </c>
      <c r="C293">
        <v>65.78</v>
      </c>
    </row>
    <row r="294" spans="1:3" x14ac:dyDescent="0.35">
      <c r="A294" t="s">
        <v>410</v>
      </c>
      <c r="B294">
        <v>65.78</v>
      </c>
      <c r="C294">
        <v>66.19</v>
      </c>
    </row>
    <row r="295" spans="1:3" x14ac:dyDescent="0.35">
      <c r="A295" t="s">
        <v>411</v>
      </c>
      <c r="B295">
        <v>66.19</v>
      </c>
      <c r="C295">
        <v>66.245000000000005</v>
      </c>
    </row>
    <row r="296" spans="1:3" x14ac:dyDescent="0.35">
      <c r="A296" t="s">
        <v>412</v>
      </c>
      <c r="B296">
        <v>66.245000000000005</v>
      </c>
      <c r="C296">
        <v>66.3</v>
      </c>
    </row>
    <row r="297" spans="1:3" x14ac:dyDescent="0.35">
      <c r="A297" t="s">
        <v>413</v>
      </c>
      <c r="B297">
        <v>66.3</v>
      </c>
      <c r="C297">
        <v>66.45</v>
      </c>
    </row>
    <row r="298" spans="1:3" x14ac:dyDescent="0.35">
      <c r="A298" t="s">
        <v>414</v>
      </c>
      <c r="B298">
        <v>65.760000000000005</v>
      </c>
      <c r="C298">
        <v>65.796999999999997</v>
      </c>
    </row>
    <row r="299" spans="1:3" x14ac:dyDescent="0.35">
      <c r="A299" t="s">
        <v>415</v>
      </c>
      <c r="B299">
        <v>65.796999999999997</v>
      </c>
      <c r="C299">
        <v>66.224999999999994</v>
      </c>
    </row>
    <row r="300" spans="1:3" x14ac:dyDescent="0.35">
      <c r="A300" t="s">
        <v>416</v>
      </c>
      <c r="B300">
        <v>66.224999999999994</v>
      </c>
      <c r="C300">
        <v>66.3</v>
      </c>
    </row>
    <row r="301" spans="1:3" x14ac:dyDescent="0.35">
      <c r="A301" t="s">
        <v>417</v>
      </c>
      <c r="B301">
        <v>65.78</v>
      </c>
      <c r="C301">
        <v>65.81</v>
      </c>
    </row>
    <row r="302" spans="1:3" x14ac:dyDescent="0.35">
      <c r="A302" t="s">
        <v>418</v>
      </c>
      <c r="B302">
        <v>65.81</v>
      </c>
      <c r="C302">
        <v>66.224999999999994</v>
      </c>
    </row>
    <row r="303" spans="1:3" x14ac:dyDescent="0.35">
      <c r="A303" t="s">
        <v>419</v>
      </c>
      <c r="B303">
        <v>66.224999999999994</v>
      </c>
      <c r="C303">
        <v>66.3</v>
      </c>
    </row>
    <row r="304" spans="1:3" x14ac:dyDescent="0.35">
      <c r="A304" t="s">
        <v>420</v>
      </c>
      <c r="B304">
        <v>70.83</v>
      </c>
      <c r="C304">
        <v>70.900000000000006</v>
      </c>
    </row>
    <row r="305" spans="1:3" x14ac:dyDescent="0.35">
      <c r="A305" t="s">
        <v>421</v>
      </c>
      <c r="B305">
        <v>70.900000000000006</v>
      </c>
      <c r="C305">
        <v>71.400000000000006</v>
      </c>
    </row>
    <row r="306" spans="1:3" x14ac:dyDescent="0.35">
      <c r="A306" t="s">
        <v>422</v>
      </c>
      <c r="B306">
        <v>71.400000000000006</v>
      </c>
      <c r="C306">
        <v>71.430000000000007</v>
      </c>
    </row>
    <row r="307" spans="1:3" x14ac:dyDescent="0.35">
      <c r="A307" t="s">
        <v>423</v>
      </c>
      <c r="B307">
        <v>71.430000000000007</v>
      </c>
      <c r="C307">
        <v>71.5</v>
      </c>
    </row>
    <row r="308" spans="1:3" x14ac:dyDescent="0.35">
      <c r="A308" t="s">
        <v>424</v>
      </c>
      <c r="B308">
        <v>70.819999999999993</v>
      </c>
      <c r="C308">
        <v>70.900000000000006</v>
      </c>
    </row>
    <row r="309" spans="1:3" x14ac:dyDescent="0.35">
      <c r="A309" t="s">
        <v>425</v>
      </c>
      <c r="B309">
        <v>70.900000000000006</v>
      </c>
      <c r="C309">
        <v>71.418999999999997</v>
      </c>
    </row>
    <row r="310" spans="1:3" x14ac:dyDescent="0.35">
      <c r="A310" t="s">
        <v>426</v>
      </c>
      <c r="B310">
        <v>71.418999999999997</v>
      </c>
      <c r="C310">
        <v>71.5</v>
      </c>
    </row>
    <row r="311" spans="1:3" x14ac:dyDescent="0.35">
      <c r="A311" t="s">
        <v>427</v>
      </c>
      <c r="B311">
        <v>71.7</v>
      </c>
      <c r="C311">
        <v>71.84</v>
      </c>
    </row>
    <row r="312" spans="1:3" x14ac:dyDescent="0.35">
      <c r="A312" t="s">
        <v>428</v>
      </c>
      <c r="B312">
        <v>71.84</v>
      </c>
      <c r="C312">
        <v>71.95</v>
      </c>
    </row>
    <row r="313" spans="1:3" x14ac:dyDescent="0.35">
      <c r="A313" t="s">
        <v>429</v>
      </c>
      <c r="B313">
        <v>71.95</v>
      </c>
      <c r="C313">
        <v>72.3</v>
      </c>
    </row>
    <row r="314" spans="1:3" x14ac:dyDescent="0.35">
      <c r="A314" t="s">
        <v>430</v>
      </c>
      <c r="B314">
        <v>10.987</v>
      </c>
      <c r="C314">
        <v>11.676</v>
      </c>
    </row>
    <row r="315" spans="1:3" x14ac:dyDescent="0.35">
      <c r="A315" t="s">
        <v>431</v>
      </c>
      <c r="B315">
        <v>10.987</v>
      </c>
      <c r="C315">
        <v>11.846</v>
      </c>
    </row>
    <row r="316" spans="1:3" x14ac:dyDescent="0.35">
      <c r="A316" t="s">
        <v>432</v>
      </c>
      <c r="B316">
        <v>12.542999999999999</v>
      </c>
      <c r="C316">
        <v>13.67</v>
      </c>
    </row>
    <row r="317" spans="1:3" x14ac:dyDescent="0.35">
      <c r="A317" t="s">
        <v>532</v>
      </c>
      <c r="B317">
        <v>33.606000000000002</v>
      </c>
      <c r="C317">
        <v>33.76</v>
      </c>
    </row>
    <row r="318" spans="1:3" x14ac:dyDescent="0.35">
      <c r="A318" t="s">
        <v>433</v>
      </c>
      <c r="B318">
        <v>10.156000000000001</v>
      </c>
      <c r="C318">
        <v>12.542999999999999</v>
      </c>
    </row>
    <row r="319" spans="1:3" x14ac:dyDescent="0.35">
      <c r="A319" t="s">
        <v>434</v>
      </c>
      <c r="B319">
        <v>10.156000000000001</v>
      </c>
      <c r="C319">
        <v>12.542999999999999</v>
      </c>
    </row>
    <row r="320" spans="1:3" x14ac:dyDescent="0.35">
      <c r="A320" t="s">
        <v>435</v>
      </c>
      <c r="B320">
        <v>11.676</v>
      </c>
      <c r="C320">
        <v>14.081</v>
      </c>
    </row>
    <row r="321" spans="1:3" x14ac:dyDescent="0.35">
      <c r="A321" t="s">
        <v>436</v>
      </c>
      <c r="B321">
        <v>11.676</v>
      </c>
      <c r="C321">
        <v>14.081</v>
      </c>
    </row>
    <row r="322" spans="1:3" x14ac:dyDescent="0.35">
      <c r="A322" t="s">
        <v>437</v>
      </c>
      <c r="B322">
        <v>18.033000000000001</v>
      </c>
      <c r="C322">
        <v>20.353999999999999</v>
      </c>
    </row>
    <row r="323" spans="1:3" x14ac:dyDescent="0.35">
      <c r="A323" t="s">
        <v>438</v>
      </c>
      <c r="B323">
        <v>25.207999999999998</v>
      </c>
      <c r="C323">
        <v>26.533999999999999</v>
      </c>
    </row>
    <row r="324" spans="1:3" x14ac:dyDescent="0.35">
      <c r="A324" t="s">
        <v>533</v>
      </c>
      <c r="B324">
        <v>29.47</v>
      </c>
      <c r="C324">
        <v>30.57</v>
      </c>
    </row>
    <row r="325" spans="1:3" x14ac:dyDescent="0.35">
      <c r="A325" t="s">
        <v>534</v>
      </c>
      <c r="B325">
        <v>29.47</v>
      </c>
      <c r="C325">
        <v>30.952000000000002</v>
      </c>
    </row>
    <row r="326" spans="1:3" x14ac:dyDescent="0.35">
      <c r="A326" t="s">
        <v>538</v>
      </c>
      <c r="B326">
        <v>32.418999999999997</v>
      </c>
      <c r="C326">
        <v>32.816000000000003</v>
      </c>
    </row>
    <row r="327" spans="1:3" x14ac:dyDescent="0.35">
      <c r="A327" t="s">
        <v>535</v>
      </c>
      <c r="B327">
        <v>33.76</v>
      </c>
      <c r="C327">
        <v>33.884999999999998</v>
      </c>
    </row>
    <row r="328" spans="1:3" x14ac:dyDescent="0.35">
      <c r="A328" t="s">
        <v>439</v>
      </c>
      <c r="B328">
        <v>10.987</v>
      </c>
      <c r="C328">
        <v>11.676</v>
      </c>
    </row>
    <row r="329" spans="1:3" x14ac:dyDescent="0.35">
      <c r="A329" t="s">
        <v>440</v>
      </c>
      <c r="B329">
        <v>10.987</v>
      </c>
      <c r="C329">
        <v>13.67</v>
      </c>
    </row>
    <row r="330" spans="1:3" x14ac:dyDescent="0.35">
      <c r="A330" t="s">
        <v>441</v>
      </c>
      <c r="B330">
        <v>12.542999999999999</v>
      </c>
      <c r="C330">
        <v>14.081</v>
      </c>
    </row>
    <row r="331" spans="1:3" x14ac:dyDescent="0.35">
      <c r="A331" t="s">
        <v>442</v>
      </c>
      <c r="B331">
        <v>12.542999999999999</v>
      </c>
      <c r="C331">
        <v>13.67</v>
      </c>
    </row>
    <row r="332" spans="1:3" x14ac:dyDescent="0.35">
      <c r="A332" t="s">
        <v>503</v>
      </c>
      <c r="B332">
        <v>18.823</v>
      </c>
      <c r="C332">
        <v>19.943000000000001</v>
      </c>
    </row>
    <row r="333" spans="1:3" x14ac:dyDescent="0.35">
      <c r="A333" t="s">
        <v>443</v>
      </c>
      <c r="B333">
        <v>26.827999999999999</v>
      </c>
      <c r="C333">
        <v>28.184999999999999</v>
      </c>
    </row>
    <row r="334" spans="1:3" x14ac:dyDescent="0.35">
      <c r="A334" t="s">
        <v>444</v>
      </c>
      <c r="B334">
        <v>66.394999999999996</v>
      </c>
      <c r="C334">
        <v>67.647000000000006</v>
      </c>
    </row>
    <row r="335" spans="1:3" x14ac:dyDescent="0.35">
      <c r="A335" t="s">
        <v>445</v>
      </c>
      <c r="B335">
        <v>77.84</v>
      </c>
      <c r="C335">
        <v>78.751999999999995</v>
      </c>
    </row>
    <row r="336" spans="1:3" x14ac:dyDescent="0.35">
      <c r="A336" t="s">
        <v>540</v>
      </c>
      <c r="B336">
        <v>10.156000000000001</v>
      </c>
      <c r="C336">
        <v>12.542999999999999</v>
      </c>
    </row>
    <row r="337" spans="1:3" x14ac:dyDescent="0.35">
      <c r="A337" t="s">
        <v>541</v>
      </c>
      <c r="B337">
        <v>10.156000000000001</v>
      </c>
      <c r="C337">
        <v>12.542999999999999</v>
      </c>
    </row>
    <row r="338" spans="1:3" x14ac:dyDescent="0.35">
      <c r="A338" t="s">
        <v>545</v>
      </c>
      <c r="B338">
        <v>11.676</v>
      </c>
      <c r="C338">
        <v>13.67</v>
      </c>
    </row>
    <row r="339" spans="1:3" x14ac:dyDescent="0.35">
      <c r="A339" t="s">
        <v>446</v>
      </c>
      <c r="B339">
        <v>11.676</v>
      </c>
      <c r="C339">
        <v>14.081</v>
      </c>
    </row>
    <row r="340" spans="1:3" x14ac:dyDescent="0.35">
      <c r="A340" t="s">
        <v>542</v>
      </c>
      <c r="B340">
        <v>18.033000000000001</v>
      </c>
      <c r="C340">
        <v>19.943000000000001</v>
      </c>
    </row>
    <row r="341" spans="1:3" x14ac:dyDescent="0.35">
      <c r="A341" t="s">
        <v>447</v>
      </c>
      <c r="B341">
        <v>26.234999999999999</v>
      </c>
      <c r="C341">
        <v>27.895</v>
      </c>
    </row>
    <row r="342" spans="1:3" x14ac:dyDescent="0.35">
      <c r="A342" t="s">
        <v>448</v>
      </c>
      <c r="B342">
        <v>63.726999999999997</v>
      </c>
      <c r="C342">
        <v>66.394999999999996</v>
      </c>
    </row>
    <row r="343" spans="1:3" x14ac:dyDescent="0.35">
      <c r="A343" t="s">
        <v>449</v>
      </c>
      <c r="B343">
        <v>77.775000000000006</v>
      </c>
      <c r="C343">
        <v>78.751999999999995</v>
      </c>
    </row>
    <row r="344" spans="1:3" x14ac:dyDescent="0.35">
      <c r="A344" t="s">
        <v>543</v>
      </c>
      <c r="B344">
        <v>10.694000000000001</v>
      </c>
      <c r="C344">
        <v>11.676</v>
      </c>
    </row>
    <row r="345" spans="1:3" x14ac:dyDescent="0.35">
      <c r="A345" t="s">
        <v>450</v>
      </c>
      <c r="B345">
        <v>10.694000000000001</v>
      </c>
      <c r="C345">
        <v>11.676</v>
      </c>
    </row>
    <row r="346" spans="1:3" x14ac:dyDescent="0.35">
      <c r="A346" t="s">
        <v>504</v>
      </c>
      <c r="B346">
        <v>17.600000000000001</v>
      </c>
      <c r="C346">
        <v>17.876999999999999</v>
      </c>
    </row>
    <row r="347" spans="1:3" x14ac:dyDescent="0.35">
      <c r="A347" t="s">
        <v>505</v>
      </c>
      <c r="B347">
        <v>18.731999999999999</v>
      </c>
      <c r="C347">
        <v>19.943000000000001</v>
      </c>
    </row>
    <row r="348" spans="1:3" x14ac:dyDescent="0.35">
      <c r="A348" t="s">
        <v>451</v>
      </c>
      <c r="B348">
        <v>18.643000000000001</v>
      </c>
      <c r="C348">
        <v>18.75</v>
      </c>
    </row>
    <row r="349" spans="1:3" x14ac:dyDescent="0.35">
      <c r="A349" t="s">
        <v>506</v>
      </c>
      <c r="B349">
        <v>17.78</v>
      </c>
      <c r="C349">
        <v>17.95</v>
      </c>
    </row>
    <row r="350" spans="1:3" x14ac:dyDescent="0.35">
      <c r="A350" t="s">
        <v>452</v>
      </c>
      <c r="B350">
        <v>18.643999999999998</v>
      </c>
      <c r="C350">
        <v>18.95</v>
      </c>
    </row>
    <row r="351" spans="1:3" x14ac:dyDescent="0.35">
      <c r="A351" t="s">
        <v>453</v>
      </c>
      <c r="B351">
        <v>27.154</v>
      </c>
      <c r="C351">
        <v>27.209</v>
      </c>
    </row>
    <row r="352" spans="1:3" x14ac:dyDescent="0.35">
      <c r="A352" t="s">
        <v>454</v>
      </c>
      <c r="B352">
        <v>28.184999999999999</v>
      </c>
      <c r="C352">
        <v>28.934999999999999</v>
      </c>
    </row>
    <row r="353" spans="1:3" x14ac:dyDescent="0.35">
      <c r="A353" t="s">
        <v>536</v>
      </c>
      <c r="B353">
        <v>29.3</v>
      </c>
      <c r="C353">
        <v>30.893000000000001</v>
      </c>
    </row>
    <row r="354" spans="1:3" x14ac:dyDescent="0.35">
      <c r="A354" t="s">
        <v>455</v>
      </c>
      <c r="B354">
        <v>32.078000000000003</v>
      </c>
      <c r="C354">
        <v>32.905000000000001</v>
      </c>
    </row>
    <row r="355" spans="1:3" x14ac:dyDescent="0.35">
      <c r="A355" t="s">
        <v>456</v>
      </c>
      <c r="B355">
        <v>32.078000000000003</v>
      </c>
      <c r="C355">
        <v>32.83</v>
      </c>
    </row>
    <row r="356" spans="1:3" x14ac:dyDescent="0.35">
      <c r="A356" t="s">
        <v>507</v>
      </c>
      <c r="B356">
        <v>33.207000000000001</v>
      </c>
      <c r="C356">
        <v>34.6</v>
      </c>
    </row>
    <row r="357" spans="1:3" x14ac:dyDescent="0.35">
      <c r="A357" t="s">
        <v>457</v>
      </c>
      <c r="B357">
        <v>28.934999999999999</v>
      </c>
      <c r="C357">
        <v>30.77</v>
      </c>
    </row>
    <row r="358" spans="1:3" x14ac:dyDescent="0.35">
      <c r="A358" t="s">
        <v>458</v>
      </c>
      <c r="B358">
        <v>31.395</v>
      </c>
      <c r="C358">
        <v>32.83</v>
      </c>
    </row>
    <row r="359" spans="1:3" x14ac:dyDescent="0.35">
      <c r="A359" t="s">
        <v>459</v>
      </c>
      <c r="B359">
        <v>32.987000000000002</v>
      </c>
      <c r="C359">
        <v>34.212000000000003</v>
      </c>
    </row>
    <row r="360" spans="1:3" x14ac:dyDescent="0.35">
      <c r="A360" t="s">
        <v>460</v>
      </c>
      <c r="B360">
        <v>32.078000000000003</v>
      </c>
      <c r="C360">
        <v>32.905000000000001</v>
      </c>
    </row>
    <row r="361" spans="1:3" x14ac:dyDescent="0.35">
      <c r="A361" t="s">
        <v>461</v>
      </c>
      <c r="B361">
        <v>32.078000000000003</v>
      </c>
      <c r="C361">
        <v>32.734999999999999</v>
      </c>
    </row>
    <row r="362" spans="1:3" x14ac:dyDescent="0.35">
      <c r="A362" t="s">
        <v>508</v>
      </c>
      <c r="B362">
        <v>32.700000000000003</v>
      </c>
      <c r="C362">
        <v>32.905000000000001</v>
      </c>
    </row>
    <row r="363" spans="1:3" x14ac:dyDescent="0.35">
      <c r="A363" t="s">
        <v>509</v>
      </c>
      <c r="B363">
        <v>33.243000000000002</v>
      </c>
      <c r="C363">
        <v>34.212000000000003</v>
      </c>
    </row>
    <row r="364" spans="1:3" x14ac:dyDescent="0.35">
      <c r="A364" t="s">
        <v>510</v>
      </c>
      <c r="B364">
        <v>44.497</v>
      </c>
      <c r="C364">
        <v>45.350999999999999</v>
      </c>
    </row>
    <row r="365" spans="1:3" x14ac:dyDescent="0.35">
      <c r="A365" t="s">
        <v>511</v>
      </c>
      <c r="B365">
        <v>44.497</v>
      </c>
      <c r="C365">
        <v>46.097000000000001</v>
      </c>
    </row>
    <row r="366" spans="1:3" x14ac:dyDescent="0.35">
      <c r="A366" t="s">
        <v>512</v>
      </c>
      <c r="B366">
        <v>46.097000000000001</v>
      </c>
      <c r="C366">
        <v>46.847000000000001</v>
      </c>
    </row>
    <row r="367" spans="1:3" x14ac:dyDescent="0.35">
      <c r="A367" t="s">
        <v>513</v>
      </c>
      <c r="B367">
        <v>64.762</v>
      </c>
      <c r="C367">
        <v>65.724999999999994</v>
      </c>
    </row>
    <row r="368" spans="1:3" x14ac:dyDescent="0.35">
      <c r="A368" t="s">
        <v>514</v>
      </c>
      <c r="B368">
        <v>64.762</v>
      </c>
      <c r="C368">
        <v>65.724999999999994</v>
      </c>
    </row>
    <row r="369" spans="1:3" x14ac:dyDescent="0.35">
      <c r="A369" t="s">
        <v>515</v>
      </c>
      <c r="B369">
        <v>66.111999999999995</v>
      </c>
      <c r="C369">
        <v>67.183999999999997</v>
      </c>
    </row>
    <row r="370" spans="1:3" x14ac:dyDescent="0.35">
      <c r="A370" t="s">
        <v>516</v>
      </c>
      <c r="B370">
        <v>70.349999999999994</v>
      </c>
      <c r="C370">
        <v>70.900000000000006</v>
      </c>
    </row>
    <row r="371" spans="1:3" x14ac:dyDescent="0.35">
      <c r="A371" t="s">
        <v>517</v>
      </c>
      <c r="B371">
        <v>70.349999999999994</v>
      </c>
      <c r="C371">
        <v>72.739999999999995</v>
      </c>
    </row>
    <row r="372" spans="1:3" x14ac:dyDescent="0.35">
      <c r="A372" t="s">
        <v>462</v>
      </c>
      <c r="B372">
        <v>31.475000000000001</v>
      </c>
      <c r="C372">
        <v>32.700000000000003</v>
      </c>
    </row>
    <row r="373" spans="1:3" x14ac:dyDescent="0.35">
      <c r="A373" t="s">
        <v>463</v>
      </c>
      <c r="B373">
        <v>31.475000000000001</v>
      </c>
      <c r="C373">
        <v>32.700000000000003</v>
      </c>
    </row>
    <row r="374" spans="1:3" x14ac:dyDescent="0.35">
      <c r="A374" t="s">
        <v>464</v>
      </c>
      <c r="B374">
        <v>32.905000000000001</v>
      </c>
      <c r="C374">
        <v>34.218000000000004</v>
      </c>
    </row>
    <row r="375" spans="1:3" x14ac:dyDescent="0.35">
      <c r="A375" t="s">
        <v>518</v>
      </c>
      <c r="B375">
        <v>32.905000000000001</v>
      </c>
      <c r="C375">
        <v>34.6</v>
      </c>
    </row>
    <row r="376" spans="1:3" x14ac:dyDescent="0.35">
      <c r="A376" t="s">
        <v>465</v>
      </c>
      <c r="B376">
        <v>44.122</v>
      </c>
      <c r="C376">
        <v>45.04</v>
      </c>
    </row>
    <row r="377" spans="1:3" x14ac:dyDescent="0.35">
      <c r="A377" t="s">
        <v>519</v>
      </c>
      <c r="B377">
        <v>44.122</v>
      </c>
      <c r="C377">
        <v>46.097000000000001</v>
      </c>
    </row>
    <row r="378" spans="1:3" x14ac:dyDescent="0.35">
      <c r="A378" t="s">
        <v>466</v>
      </c>
      <c r="B378">
        <v>45.350999999999999</v>
      </c>
      <c r="C378">
        <v>46.097999999999999</v>
      </c>
    </row>
    <row r="379" spans="1:3" x14ac:dyDescent="0.35">
      <c r="A379" t="s">
        <v>467</v>
      </c>
      <c r="B379">
        <v>45.350999999999999</v>
      </c>
      <c r="C379">
        <v>46.3</v>
      </c>
    </row>
    <row r="380" spans="1:3" x14ac:dyDescent="0.35">
      <c r="A380" t="s">
        <v>520</v>
      </c>
      <c r="B380">
        <v>45.350999999999999</v>
      </c>
      <c r="C380">
        <v>47.494999999999997</v>
      </c>
    </row>
    <row r="381" spans="1:3" x14ac:dyDescent="0.35">
      <c r="A381" t="s">
        <v>544</v>
      </c>
      <c r="B381">
        <v>64.123999999999995</v>
      </c>
      <c r="C381">
        <v>66.111999999999995</v>
      </c>
    </row>
    <row r="382" spans="1:3" x14ac:dyDescent="0.35">
      <c r="A382" t="s">
        <v>468</v>
      </c>
      <c r="B382">
        <v>64.123999999999995</v>
      </c>
      <c r="C382">
        <v>65.64</v>
      </c>
    </row>
    <row r="383" spans="1:3" x14ac:dyDescent="0.35">
      <c r="A383" t="s">
        <v>521</v>
      </c>
      <c r="B383">
        <v>65.724999999999994</v>
      </c>
      <c r="C383">
        <v>67.53</v>
      </c>
    </row>
    <row r="384" spans="1:3" x14ac:dyDescent="0.35">
      <c r="A384" t="s">
        <v>469</v>
      </c>
      <c r="B384">
        <v>71.36</v>
      </c>
      <c r="C384">
        <v>71.84</v>
      </c>
    </row>
    <row r="385" spans="1:3" x14ac:dyDescent="0.35">
      <c r="A385" t="s">
        <v>522</v>
      </c>
      <c r="B385">
        <v>71.36</v>
      </c>
      <c r="C385">
        <v>73.210999999999999</v>
      </c>
    </row>
    <row r="386" spans="1:3" x14ac:dyDescent="0.35">
      <c r="A386" t="s">
        <v>523</v>
      </c>
      <c r="B386">
        <v>77.278999999999996</v>
      </c>
      <c r="C386">
        <v>78.751999999999995</v>
      </c>
    </row>
    <row r="387" spans="1:3" x14ac:dyDescent="0.35">
      <c r="A387" t="s">
        <v>537</v>
      </c>
      <c r="B387">
        <v>29.372</v>
      </c>
      <c r="C387">
        <v>30.893000000000001</v>
      </c>
    </row>
    <row r="388" spans="1:3" x14ac:dyDescent="0.35">
      <c r="A388" t="s">
        <v>470</v>
      </c>
      <c r="B388">
        <v>32.69</v>
      </c>
      <c r="C388">
        <v>32.837000000000003</v>
      </c>
    </row>
    <row r="389" spans="1:3" x14ac:dyDescent="0.35">
      <c r="A389" t="s">
        <v>471</v>
      </c>
      <c r="B389">
        <v>33.619999999999997</v>
      </c>
      <c r="C389">
        <v>34.212000000000003</v>
      </c>
    </row>
    <row r="390" spans="1:3" x14ac:dyDescent="0.35">
      <c r="A390" t="s">
        <v>472</v>
      </c>
      <c r="B390">
        <v>33.375999999999998</v>
      </c>
      <c r="C390">
        <v>34.218000000000004</v>
      </c>
    </row>
    <row r="391" spans="1:3" x14ac:dyDescent="0.35">
      <c r="A391" t="s">
        <v>555</v>
      </c>
      <c r="B391">
        <v>33.619999999999997</v>
      </c>
      <c r="C391">
        <v>34.218000000000004</v>
      </c>
    </row>
    <row r="392" spans="1:3" x14ac:dyDescent="0.35">
      <c r="A392" t="s">
        <v>473</v>
      </c>
      <c r="B392">
        <v>33.338999999999999</v>
      </c>
      <c r="C392">
        <v>33.619999999999997</v>
      </c>
    </row>
    <row r="393" spans="1:3" x14ac:dyDescent="0.35">
      <c r="A393" t="s">
        <v>524</v>
      </c>
      <c r="B393">
        <v>46.097000000000001</v>
      </c>
      <c r="C393">
        <v>47.494999999999997</v>
      </c>
    </row>
    <row r="394" spans="1:3" x14ac:dyDescent="0.35">
      <c r="A394" t="s">
        <v>474</v>
      </c>
      <c r="B394">
        <v>45.79</v>
      </c>
      <c r="C394">
        <v>46.847000000000001</v>
      </c>
    </row>
    <row r="395" spans="1:3" x14ac:dyDescent="0.35">
      <c r="A395" t="s">
        <v>475</v>
      </c>
      <c r="B395">
        <v>45.9</v>
      </c>
      <c r="C395">
        <v>46.847000000000001</v>
      </c>
    </row>
    <row r="396" spans="1:3" x14ac:dyDescent="0.35">
      <c r="A396" t="s">
        <v>476</v>
      </c>
      <c r="B396">
        <v>46.1</v>
      </c>
      <c r="C396">
        <v>46.847000000000001</v>
      </c>
    </row>
    <row r="397" spans="1:3" x14ac:dyDescent="0.35">
      <c r="A397" t="s">
        <v>539</v>
      </c>
      <c r="B397">
        <v>32.4</v>
      </c>
      <c r="C397">
        <v>33.046999999999997</v>
      </c>
    </row>
    <row r="398" spans="1:3" x14ac:dyDescent="0.35">
      <c r="A398" t="s">
        <v>477</v>
      </c>
      <c r="B398">
        <v>32.5</v>
      </c>
      <c r="C398">
        <v>32.774000000000001</v>
      </c>
    </row>
    <row r="399" spans="1:3" x14ac:dyDescent="0.35">
      <c r="A399" t="s">
        <v>478</v>
      </c>
      <c r="B399">
        <v>32.65</v>
      </c>
      <c r="C399">
        <v>32.905000000000001</v>
      </c>
    </row>
    <row r="400" spans="1:3" x14ac:dyDescent="0.35">
      <c r="A400" t="s">
        <v>479</v>
      </c>
      <c r="B400">
        <v>32.5</v>
      </c>
      <c r="C400">
        <v>32.905000000000001</v>
      </c>
    </row>
    <row r="401" spans="1:3" x14ac:dyDescent="0.35">
      <c r="A401" t="s">
        <v>480</v>
      </c>
      <c r="B401">
        <v>33.299999999999997</v>
      </c>
      <c r="C401">
        <v>33.5</v>
      </c>
    </row>
    <row r="402" spans="1:3" x14ac:dyDescent="0.35">
      <c r="A402" t="s">
        <v>525</v>
      </c>
      <c r="B402">
        <v>33.322000000000003</v>
      </c>
      <c r="C402">
        <v>34.6</v>
      </c>
    </row>
    <row r="403" spans="1:3" x14ac:dyDescent="0.35">
      <c r="A403" t="s">
        <v>526</v>
      </c>
      <c r="B403">
        <v>64.793999999999997</v>
      </c>
      <c r="C403">
        <v>66.111999999999995</v>
      </c>
    </row>
    <row r="404" spans="1:3" x14ac:dyDescent="0.35">
      <c r="A404" t="s">
        <v>527</v>
      </c>
      <c r="B404">
        <v>65.599999999999994</v>
      </c>
      <c r="C404">
        <v>66.111999999999995</v>
      </c>
    </row>
    <row r="405" spans="1:3" x14ac:dyDescent="0.35">
      <c r="A405" t="s">
        <v>528</v>
      </c>
      <c r="B405">
        <v>66.13</v>
      </c>
      <c r="C405">
        <v>67.53</v>
      </c>
    </row>
    <row r="406" spans="1:3" x14ac:dyDescent="0.35">
      <c r="A406" t="s">
        <v>481</v>
      </c>
      <c r="B406">
        <v>65.599999999999994</v>
      </c>
      <c r="C406">
        <v>65.73</v>
      </c>
    </row>
    <row r="407" spans="1:3" x14ac:dyDescent="0.35">
      <c r="A407" t="s">
        <v>482</v>
      </c>
      <c r="B407">
        <v>65.64</v>
      </c>
      <c r="C407">
        <v>65.73</v>
      </c>
    </row>
    <row r="408" spans="1:3" x14ac:dyDescent="0.35">
      <c r="A408" t="s">
        <v>483</v>
      </c>
      <c r="B408">
        <v>66.287000000000006</v>
      </c>
      <c r="C408">
        <v>67.183999999999997</v>
      </c>
    </row>
    <row r="409" spans="1:3" x14ac:dyDescent="0.35">
      <c r="A409" t="s">
        <v>484</v>
      </c>
      <c r="B409">
        <v>66.323999999999998</v>
      </c>
      <c r="C409">
        <v>66.430000000000007</v>
      </c>
    </row>
    <row r="410" spans="1:3" x14ac:dyDescent="0.35">
      <c r="A410" t="s">
        <v>556</v>
      </c>
      <c r="B410">
        <v>66.099999999999994</v>
      </c>
      <c r="C410">
        <v>66.3</v>
      </c>
    </row>
    <row r="411" spans="1:3" x14ac:dyDescent="0.35">
      <c r="A411" t="s">
        <v>486</v>
      </c>
      <c r="B411">
        <v>65.715000000000003</v>
      </c>
      <c r="C411">
        <v>65.78</v>
      </c>
    </row>
    <row r="412" spans="1:3" x14ac:dyDescent="0.35">
      <c r="A412" t="s">
        <v>487</v>
      </c>
      <c r="B412">
        <v>65.73</v>
      </c>
      <c r="C412">
        <v>65.781999999999996</v>
      </c>
    </row>
    <row r="413" spans="1:3" x14ac:dyDescent="0.35">
      <c r="A413" t="s">
        <v>557</v>
      </c>
      <c r="B413">
        <v>66.099999999999994</v>
      </c>
      <c r="C413">
        <v>66.245000000000005</v>
      </c>
    </row>
    <row r="414" spans="1:3" x14ac:dyDescent="0.35">
      <c r="A414" t="s">
        <v>489</v>
      </c>
      <c r="B414">
        <v>65.724999999999994</v>
      </c>
      <c r="C414">
        <v>65.796999999999997</v>
      </c>
    </row>
    <row r="415" spans="1:3" x14ac:dyDescent="0.35">
      <c r="A415" t="s">
        <v>490</v>
      </c>
      <c r="B415">
        <v>66.3</v>
      </c>
      <c r="C415">
        <v>66.400000000000006</v>
      </c>
    </row>
    <row r="416" spans="1:3" x14ac:dyDescent="0.35">
      <c r="A416" t="s">
        <v>491</v>
      </c>
      <c r="B416">
        <v>65.760000000000005</v>
      </c>
      <c r="C416">
        <v>65.81</v>
      </c>
    </row>
    <row r="417" spans="1:3" x14ac:dyDescent="0.35">
      <c r="A417" t="s">
        <v>492</v>
      </c>
      <c r="B417">
        <v>66.224999999999994</v>
      </c>
      <c r="C417">
        <v>66.45</v>
      </c>
    </row>
    <row r="418" spans="1:3" x14ac:dyDescent="0.35">
      <c r="A418" t="s">
        <v>493</v>
      </c>
      <c r="B418">
        <v>66.224999999999994</v>
      </c>
      <c r="C418">
        <v>66.3</v>
      </c>
    </row>
    <row r="419" spans="1:3" x14ac:dyDescent="0.35">
      <c r="A419" t="s">
        <v>494</v>
      </c>
      <c r="B419">
        <v>71.400000000000006</v>
      </c>
      <c r="C419">
        <v>71.5</v>
      </c>
    </row>
    <row r="420" spans="1:3" x14ac:dyDescent="0.35">
      <c r="A420" t="s">
        <v>495</v>
      </c>
      <c r="B420">
        <v>70.819999999999993</v>
      </c>
      <c r="C420">
        <v>70.900000000000006</v>
      </c>
    </row>
    <row r="421" spans="1:3" x14ac:dyDescent="0.35">
      <c r="A421" t="s">
        <v>529</v>
      </c>
      <c r="B421">
        <v>71.418999999999997</v>
      </c>
      <c r="C421">
        <v>71.86</v>
      </c>
    </row>
    <row r="422" spans="1:3" x14ac:dyDescent="0.35">
      <c r="A422" t="s">
        <v>496</v>
      </c>
      <c r="B422">
        <v>71.95</v>
      </c>
      <c r="C422">
        <v>72.739999999999995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ED9D-2E19-43C7-BA19-B9A31D855933}">
  <dimension ref="A1:B29"/>
  <sheetViews>
    <sheetView zoomScale="70" zoomScaleNormal="70" workbookViewId="0">
      <selection activeCell="A2" sqref="A2"/>
    </sheetView>
  </sheetViews>
  <sheetFormatPr defaultRowHeight="14.5" x14ac:dyDescent="0.35"/>
  <cols>
    <col min="1" max="1" width="6.81640625" style="2" bestFit="1" customWidth="1"/>
    <col min="2" max="2" width="17.453125" style="2" bestFit="1" customWidth="1"/>
  </cols>
  <sheetData>
    <row r="1" spans="1:2" x14ac:dyDescent="0.35">
      <c r="A1" s="2">
        <v>9.9</v>
      </c>
      <c r="B1" s="2" t="s">
        <v>11</v>
      </c>
    </row>
    <row r="2" spans="1:2" x14ac:dyDescent="0.35">
      <c r="A2" s="2">
        <v>12.151999999999999</v>
      </c>
      <c r="B2" s="2" t="s">
        <v>558</v>
      </c>
    </row>
    <row r="3" spans="1:2" x14ac:dyDescent="0.35">
      <c r="A3" s="2">
        <v>12.31</v>
      </c>
      <c r="B3" s="2" t="s">
        <v>63</v>
      </c>
    </row>
    <row r="4" spans="1:2" x14ac:dyDescent="0.35">
      <c r="A4" s="2">
        <v>16.09</v>
      </c>
      <c r="B4" s="2" t="s">
        <v>61</v>
      </c>
    </row>
    <row r="5" spans="1:2" x14ac:dyDescent="0.35">
      <c r="A5" s="2">
        <v>18.641999999999999</v>
      </c>
      <c r="B5" s="2" t="s">
        <v>559</v>
      </c>
    </row>
    <row r="6" spans="1:2" x14ac:dyDescent="0.35">
      <c r="A6" s="2">
        <v>18.75</v>
      </c>
      <c r="B6" s="2" t="s">
        <v>64</v>
      </c>
    </row>
    <row r="7" spans="1:2" x14ac:dyDescent="0.35">
      <c r="A7" s="2">
        <v>19.600000000000001</v>
      </c>
      <c r="B7" s="2" t="s">
        <v>16</v>
      </c>
    </row>
    <row r="8" spans="1:2" x14ac:dyDescent="0.35">
      <c r="A8" s="2">
        <v>22.61</v>
      </c>
      <c r="B8" s="2" t="s">
        <v>17</v>
      </c>
    </row>
    <row r="9" spans="1:2" x14ac:dyDescent="0.35">
      <c r="A9" s="2">
        <v>24.585000000000001</v>
      </c>
      <c r="B9" s="2" t="s">
        <v>19</v>
      </c>
    </row>
    <row r="10" spans="1:2" x14ac:dyDescent="0.35">
      <c r="A10" s="2">
        <v>27.152000000000001</v>
      </c>
      <c r="B10" s="2" t="s">
        <v>20</v>
      </c>
    </row>
    <row r="11" spans="1:2" x14ac:dyDescent="0.35">
      <c r="A11" s="2">
        <v>27.425000000000001</v>
      </c>
      <c r="B11" s="2" t="s">
        <v>59</v>
      </c>
    </row>
    <row r="12" spans="1:2" x14ac:dyDescent="0.35">
      <c r="A12" s="2">
        <v>29.25</v>
      </c>
      <c r="B12" s="2" t="s">
        <v>65</v>
      </c>
    </row>
    <row r="13" spans="1:2" x14ac:dyDescent="0.35">
      <c r="A13" s="2">
        <v>32.932000000000002</v>
      </c>
      <c r="B13" s="2" t="s">
        <v>22</v>
      </c>
    </row>
    <row r="14" spans="1:2" x14ac:dyDescent="0.35">
      <c r="A14" s="2">
        <v>32.97</v>
      </c>
      <c r="B14" s="2" t="s">
        <v>560</v>
      </c>
    </row>
    <row r="15" spans="1:2" x14ac:dyDescent="0.35">
      <c r="A15" s="2">
        <v>33.143000000000001</v>
      </c>
      <c r="B15" s="2" t="s">
        <v>29</v>
      </c>
    </row>
    <row r="16" spans="1:2" x14ac:dyDescent="0.35">
      <c r="A16" s="2">
        <v>37.146000000000001</v>
      </c>
      <c r="B16" s="2" t="s">
        <v>32</v>
      </c>
    </row>
    <row r="17" spans="1:2" x14ac:dyDescent="0.35">
      <c r="A17" s="2">
        <v>38.176000000000002</v>
      </c>
      <c r="B17" s="2" t="s">
        <v>30</v>
      </c>
    </row>
    <row r="18" spans="1:2" x14ac:dyDescent="0.35">
      <c r="A18" s="2">
        <v>42.116999999999997</v>
      </c>
      <c r="B18" s="2" t="s">
        <v>33</v>
      </c>
    </row>
    <row r="19" spans="1:2" x14ac:dyDescent="0.35">
      <c r="A19" s="2">
        <v>45.27</v>
      </c>
      <c r="B19" s="2" t="s">
        <v>561</v>
      </c>
    </row>
    <row r="20" spans="1:2" x14ac:dyDescent="0.35">
      <c r="A20" s="2">
        <v>46.052</v>
      </c>
      <c r="B20" s="2" t="s">
        <v>34</v>
      </c>
    </row>
    <row r="21" spans="1:2" x14ac:dyDescent="0.35">
      <c r="A21" s="2">
        <v>53.018000000000001</v>
      </c>
      <c r="B21" s="2" t="s">
        <v>35</v>
      </c>
    </row>
    <row r="22" spans="1:2" x14ac:dyDescent="0.35">
      <c r="A22" s="2">
        <v>59.777999999999999</v>
      </c>
      <c r="B22" s="2" t="s">
        <v>36</v>
      </c>
    </row>
    <row r="23" spans="1:2" x14ac:dyDescent="0.35">
      <c r="A23" s="2">
        <v>63.692999999999998</v>
      </c>
      <c r="B23" s="2" t="s">
        <v>43</v>
      </c>
    </row>
    <row r="24" spans="1:2" x14ac:dyDescent="0.35">
      <c r="A24" s="2">
        <v>65.826999999999998</v>
      </c>
      <c r="B24" s="2" t="s">
        <v>37</v>
      </c>
    </row>
    <row r="25" spans="1:2" x14ac:dyDescent="0.35">
      <c r="A25" s="2">
        <v>66.997</v>
      </c>
      <c r="B25" s="2" t="s">
        <v>57</v>
      </c>
    </row>
    <row r="26" spans="1:2" x14ac:dyDescent="0.35">
      <c r="A26" s="2">
        <v>71.36</v>
      </c>
      <c r="B26" s="2" t="s">
        <v>562</v>
      </c>
    </row>
    <row r="27" spans="1:2" x14ac:dyDescent="0.35">
      <c r="A27" s="2">
        <v>71.653000000000006</v>
      </c>
      <c r="B27" s="2" t="s">
        <v>38</v>
      </c>
    </row>
    <row r="28" spans="1:2" x14ac:dyDescent="0.35">
      <c r="A28" s="2">
        <v>71.86</v>
      </c>
      <c r="B28" s="2" t="s">
        <v>563</v>
      </c>
    </row>
    <row r="29" spans="1:2" x14ac:dyDescent="0.35">
      <c r="A29" s="2">
        <v>78.507999999999996</v>
      </c>
      <c r="B29" s="2" t="s">
        <v>39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1A39-C3E4-49D8-A902-4D0CBECF5500}">
  <dimension ref="A1:R33"/>
  <sheetViews>
    <sheetView zoomScale="70" zoomScaleNormal="70" workbookViewId="0">
      <selection activeCell="H19" sqref="H19"/>
    </sheetView>
  </sheetViews>
  <sheetFormatPr defaultRowHeight="14.5" x14ac:dyDescent="0.35"/>
  <cols>
    <col min="1" max="1" width="22.81640625" bestFit="1" customWidth="1"/>
    <col min="7" max="7" width="51.6328125" bestFit="1" customWidth="1"/>
  </cols>
  <sheetData>
    <row r="1" spans="1:18" x14ac:dyDescent="0.35">
      <c r="A1" s="2" t="s">
        <v>11</v>
      </c>
      <c r="B1">
        <v>9.6359999999999992</v>
      </c>
      <c r="C1">
        <v>10.987</v>
      </c>
      <c r="D1">
        <v>0</v>
      </c>
    </row>
    <row r="2" spans="1:18" x14ac:dyDescent="0.35">
      <c r="A2" s="2" t="s">
        <v>547</v>
      </c>
      <c r="B2">
        <f>C1</f>
        <v>10.987</v>
      </c>
      <c r="C2">
        <v>11.846</v>
      </c>
      <c r="D2">
        <v>0</v>
      </c>
      <c r="F2" t="str">
        <f>IF(B2=C1,"OK","Error")</f>
        <v>OK</v>
      </c>
      <c r="M2" s="2"/>
      <c r="R2" s="2"/>
    </row>
    <row r="3" spans="1:18" x14ac:dyDescent="0.35">
      <c r="A3" s="2" t="s">
        <v>63</v>
      </c>
      <c r="B3">
        <f>C2</f>
        <v>11.846</v>
      </c>
      <c r="C3">
        <v>12.542999999999999</v>
      </c>
      <c r="D3">
        <v>0</v>
      </c>
      <c r="F3" t="str">
        <f t="shared" ref="F3:F31" si="0">IF(B3=C2,"OK","Error")</f>
        <v>OK</v>
      </c>
      <c r="R3" s="2"/>
    </row>
    <row r="4" spans="1:18" x14ac:dyDescent="0.35">
      <c r="A4" s="2" t="s">
        <v>548</v>
      </c>
      <c r="B4">
        <f>C3</f>
        <v>12.542999999999999</v>
      </c>
      <c r="C4">
        <v>15.506</v>
      </c>
      <c r="D4">
        <v>0</v>
      </c>
      <c r="F4" t="str">
        <f t="shared" si="0"/>
        <v>OK</v>
      </c>
    </row>
    <row r="5" spans="1:18" x14ac:dyDescent="0.35">
      <c r="A5" s="2" t="s">
        <v>61</v>
      </c>
      <c r="B5">
        <f t="shared" ref="B5:B8" si="1">C4</f>
        <v>15.506</v>
      </c>
      <c r="C5">
        <v>17.010000000000002</v>
      </c>
      <c r="D5">
        <v>0</v>
      </c>
      <c r="F5" t="str">
        <f t="shared" si="0"/>
        <v>OK</v>
      </c>
    </row>
    <row r="6" spans="1:18" x14ac:dyDescent="0.35">
      <c r="A6" s="2" t="s">
        <v>549</v>
      </c>
      <c r="B6">
        <f t="shared" si="1"/>
        <v>17.010000000000002</v>
      </c>
      <c r="C6">
        <v>18.823</v>
      </c>
      <c r="D6">
        <v>0</v>
      </c>
      <c r="F6" t="str">
        <f t="shared" si="0"/>
        <v>OK</v>
      </c>
    </row>
    <row r="7" spans="1:18" x14ac:dyDescent="0.35">
      <c r="A7" s="2" t="s">
        <v>64</v>
      </c>
      <c r="B7">
        <f t="shared" si="1"/>
        <v>18.823</v>
      </c>
      <c r="C7">
        <v>19.943000000000001</v>
      </c>
      <c r="D7">
        <v>0</v>
      </c>
      <c r="F7" t="str">
        <f t="shared" si="0"/>
        <v>OK</v>
      </c>
    </row>
    <row r="8" spans="1:18" x14ac:dyDescent="0.35">
      <c r="A8" s="2" t="s">
        <v>16</v>
      </c>
      <c r="B8">
        <f t="shared" si="1"/>
        <v>19.943000000000001</v>
      </c>
      <c r="C8">
        <v>20.353999999999999</v>
      </c>
      <c r="D8">
        <v>0</v>
      </c>
      <c r="F8" t="str">
        <f t="shared" si="0"/>
        <v>OK</v>
      </c>
    </row>
    <row r="9" spans="1:18" x14ac:dyDescent="0.35">
      <c r="A9" s="2" t="s">
        <v>554</v>
      </c>
      <c r="B9">
        <f>C8</f>
        <v>20.353999999999999</v>
      </c>
      <c r="C9">
        <f>B10</f>
        <v>21.914000000000001</v>
      </c>
      <c r="D9">
        <v>0</v>
      </c>
      <c r="F9" t="str">
        <f t="shared" si="0"/>
        <v>OK</v>
      </c>
    </row>
    <row r="10" spans="1:18" x14ac:dyDescent="0.35">
      <c r="A10" s="2" t="s">
        <v>17</v>
      </c>
      <c r="B10">
        <v>21.914000000000001</v>
      </c>
      <c r="C10">
        <v>22.946000000000002</v>
      </c>
      <c r="D10">
        <v>0</v>
      </c>
      <c r="F10" t="str">
        <f t="shared" si="0"/>
        <v>OK</v>
      </c>
    </row>
    <row r="11" spans="1:18" x14ac:dyDescent="0.35">
      <c r="A11" t="s">
        <v>550</v>
      </c>
      <c r="B11">
        <f>C10</f>
        <v>22.946000000000002</v>
      </c>
      <c r="C11">
        <v>24.305</v>
      </c>
      <c r="D11">
        <v>0</v>
      </c>
      <c r="F11" t="str">
        <f t="shared" si="0"/>
        <v>OK</v>
      </c>
    </row>
    <row r="12" spans="1:18" x14ac:dyDescent="0.35">
      <c r="A12" s="2" t="s">
        <v>19</v>
      </c>
      <c r="B12">
        <v>24.305</v>
      </c>
      <c r="C12">
        <v>25.32</v>
      </c>
      <c r="D12">
        <v>0</v>
      </c>
      <c r="F12" t="str">
        <f t="shared" si="0"/>
        <v>OK</v>
      </c>
    </row>
    <row r="13" spans="1:18" x14ac:dyDescent="0.35">
      <c r="A13" s="2" t="s">
        <v>20</v>
      </c>
      <c r="B13">
        <v>25.32</v>
      </c>
      <c r="C13">
        <v>27.154</v>
      </c>
      <c r="D13">
        <v>0</v>
      </c>
      <c r="F13" t="str">
        <f t="shared" si="0"/>
        <v>OK</v>
      </c>
    </row>
    <row r="14" spans="1:18" x14ac:dyDescent="0.35">
      <c r="A14" s="2" t="s">
        <v>59</v>
      </c>
      <c r="B14">
        <v>27.154</v>
      </c>
      <c r="C14">
        <v>28.152999999999999</v>
      </c>
      <c r="D14">
        <v>0</v>
      </c>
      <c r="F14" t="str">
        <f t="shared" si="0"/>
        <v>OK</v>
      </c>
    </row>
    <row r="15" spans="1:18" x14ac:dyDescent="0.35">
      <c r="A15" s="2" t="s">
        <v>65</v>
      </c>
      <c r="B15">
        <f>C14</f>
        <v>28.152999999999999</v>
      </c>
      <c r="C15">
        <v>30.57</v>
      </c>
      <c r="D15">
        <v>0</v>
      </c>
      <c r="F15" t="str">
        <f t="shared" si="0"/>
        <v>OK</v>
      </c>
    </row>
    <row r="16" spans="1:18" x14ac:dyDescent="0.35">
      <c r="A16" s="2" t="s">
        <v>22</v>
      </c>
      <c r="B16">
        <f>C15</f>
        <v>30.57</v>
      </c>
      <c r="C16">
        <v>32.816000000000003</v>
      </c>
      <c r="D16">
        <v>0</v>
      </c>
      <c r="F16" t="str">
        <f t="shared" si="0"/>
        <v>OK</v>
      </c>
    </row>
    <row r="17" spans="1:6" x14ac:dyDescent="0.35">
      <c r="A17" s="2" t="s">
        <v>29</v>
      </c>
      <c r="B17">
        <f>C16</f>
        <v>32.816000000000003</v>
      </c>
      <c r="C17">
        <v>35.959000000000003</v>
      </c>
      <c r="D17">
        <v>0</v>
      </c>
      <c r="F17" t="str">
        <f t="shared" si="0"/>
        <v>OK</v>
      </c>
    </row>
    <row r="18" spans="1:6" x14ac:dyDescent="0.35">
      <c r="A18" s="2" t="s">
        <v>32</v>
      </c>
      <c r="B18">
        <f>C17</f>
        <v>35.959000000000003</v>
      </c>
      <c r="C18">
        <v>37.594000000000001</v>
      </c>
      <c r="D18">
        <v>0</v>
      </c>
      <c r="F18" t="str">
        <f t="shared" si="0"/>
        <v>OK</v>
      </c>
    </row>
    <row r="19" spans="1:6" x14ac:dyDescent="0.35">
      <c r="A19" s="2" t="s">
        <v>30</v>
      </c>
      <c r="B19">
        <f>C18</f>
        <v>37.594000000000001</v>
      </c>
      <c r="C19">
        <v>38.198999999999998</v>
      </c>
      <c r="D19">
        <v>0</v>
      </c>
      <c r="F19" t="str">
        <f t="shared" si="0"/>
        <v>OK</v>
      </c>
    </row>
    <row r="20" spans="1:6" x14ac:dyDescent="0.35">
      <c r="A20" s="2" t="s">
        <v>33</v>
      </c>
      <c r="B20">
        <v>38.198999999999998</v>
      </c>
      <c r="C20">
        <v>41.168999999999997</v>
      </c>
      <c r="D20">
        <v>0</v>
      </c>
      <c r="F20" t="str">
        <f t="shared" si="0"/>
        <v>OK</v>
      </c>
    </row>
    <row r="21" spans="1:6" x14ac:dyDescent="0.35">
      <c r="A21" s="2" t="s">
        <v>551</v>
      </c>
      <c r="B21">
        <f>C20</f>
        <v>41.168999999999997</v>
      </c>
      <c r="C21">
        <v>44.497</v>
      </c>
      <c r="D21">
        <v>0</v>
      </c>
      <c r="F21" t="str">
        <f t="shared" si="0"/>
        <v>OK</v>
      </c>
    </row>
    <row r="22" spans="1:6" x14ac:dyDescent="0.35">
      <c r="A22" s="2" t="s">
        <v>34</v>
      </c>
      <c r="B22">
        <f>C21</f>
        <v>44.497</v>
      </c>
      <c r="C22">
        <v>47.494999999999997</v>
      </c>
      <c r="D22">
        <v>0</v>
      </c>
      <c r="F22" t="str">
        <f t="shared" si="0"/>
        <v>OK</v>
      </c>
    </row>
    <row r="23" spans="1:6" x14ac:dyDescent="0.35">
      <c r="A23" s="2" t="s">
        <v>552</v>
      </c>
      <c r="B23">
        <f>C22</f>
        <v>47.494999999999997</v>
      </c>
      <c r="C23">
        <f>B24</f>
        <v>52.033000000000001</v>
      </c>
      <c r="D23">
        <v>0</v>
      </c>
      <c r="F23" t="str">
        <f t="shared" si="0"/>
        <v>OK</v>
      </c>
    </row>
    <row r="24" spans="1:6" x14ac:dyDescent="0.35">
      <c r="A24" s="2" t="s">
        <v>35</v>
      </c>
      <c r="B24">
        <v>52.033000000000001</v>
      </c>
      <c r="C24">
        <v>53.112000000000002</v>
      </c>
      <c r="D24">
        <v>0</v>
      </c>
      <c r="F24" t="str">
        <f t="shared" si="0"/>
        <v>OK</v>
      </c>
    </row>
    <row r="25" spans="1:6" x14ac:dyDescent="0.35">
      <c r="A25" s="2" t="s">
        <v>553</v>
      </c>
      <c r="B25">
        <f>C24</f>
        <v>53.112000000000002</v>
      </c>
      <c r="C25">
        <f>B26</f>
        <v>58.789000000000001</v>
      </c>
      <c r="D25">
        <v>0</v>
      </c>
      <c r="F25" t="str">
        <f t="shared" si="0"/>
        <v>OK</v>
      </c>
    </row>
    <row r="26" spans="1:6" x14ac:dyDescent="0.35">
      <c r="A26" s="2" t="s">
        <v>36</v>
      </c>
      <c r="B26">
        <v>58.789000000000001</v>
      </c>
      <c r="C26">
        <v>61.518000000000001</v>
      </c>
      <c r="D26">
        <v>0</v>
      </c>
      <c r="F26" t="str">
        <f t="shared" si="0"/>
        <v>OK</v>
      </c>
    </row>
    <row r="27" spans="1:6" x14ac:dyDescent="0.35">
      <c r="A27" s="2" t="s">
        <v>43</v>
      </c>
      <c r="B27">
        <f>C26</f>
        <v>61.518000000000001</v>
      </c>
      <c r="C27">
        <v>64.762</v>
      </c>
      <c r="D27">
        <v>0</v>
      </c>
      <c r="F27" t="str">
        <f t="shared" si="0"/>
        <v>OK</v>
      </c>
    </row>
    <row r="28" spans="1:6" x14ac:dyDescent="0.35">
      <c r="A28" s="2" t="s">
        <v>37</v>
      </c>
      <c r="B28">
        <f>C27</f>
        <v>64.762</v>
      </c>
      <c r="C28">
        <v>66.111999999999995</v>
      </c>
      <c r="D28">
        <v>0</v>
      </c>
      <c r="F28" t="str">
        <f t="shared" si="0"/>
        <v>OK</v>
      </c>
    </row>
    <row r="29" spans="1:6" x14ac:dyDescent="0.35">
      <c r="A29" s="2" t="s">
        <v>57</v>
      </c>
      <c r="B29">
        <f>C28</f>
        <v>66.111999999999995</v>
      </c>
      <c r="C29">
        <v>70.349999999999994</v>
      </c>
      <c r="D29">
        <v>0</v>
      </c>
      <c r="F29" t="str">
        <f t="shared" si="0"/>
        <v>OK</v>
      </c>
    </row>
    <row r="30" spans="1:6" x14ac:dyDescent="0.35">
      <c r="A30" s="2" t="s">
        <v>38</v>
      </c>
      <c r="B30">
        <f>C29</f>
        <v>70.349999999999994</v>
      </c>
      <c r="C30">
        <v>73.210999999999999</v>
      </c>
      <c r="D30">
        <v>0</v>
      </c>
      <c r="F30" t="str">
        <f t="shared" si="0"/>
        <v>OK</v>
      </c>
    </row>
    <row r="31" spans="1:6" x14ac:dyDescent="0.35">
      <c r="A31" s="2" t="s">
        <v>39</v>
      </c>
      <c r="B31">
        <f>C30</f>
        <v>73.210999999999999</v>
      </c>
      <c r="C31">
        <v>78.751999999999995</v>
      </c>
      <c r="D31">
        <v>0</v>
      </c>
      <c r="F31" t="str">
        <f t="shared" si="0"/>
        <v>OK</v>
      </c>
    </row>
    <row r="32" spans="1:6" x14ac:dyDescent="0.35">
      <c r="A32" s="2" t="s">
        <v>546</v>
      </c>
      <c r="B32">
        <v>18.823</v>
      </c>
      <c r="C32">
        <v>78.650000000000006</v>
      </c>
      <c r="D32">
        <v>2</v>
      </c>
      <c r="E32">
        <v>2</v>
      </c>
    </row>
    <row r="33" spans="1:5" x14ac:dyDescent="0.35">
      <c r="A33" s="2" t="s">
        <v>546</v>
      </c>
      <c r="B33">
        <v>18.823</v>
      </c>
      <c r="C33">
        <v>78.650000000000006</v>
      </c>
      <c r="D33">
        <v>2</v>
      </c>
      <c r="E33">
        <v>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79FD-3F0D-4A4F-AE07-7408079F07D9}">
  <dimension ref="A1:D5"/>
  <sheetViews>
    <sheetView workbookViewId="0">
      <selection activeCell="G8" sqref="G8"/>
    </sheetView>
  </sheetViews>
  <sheetFormatPr defaultRowHeight="14.5" x14ac:dyDescent="0.35"/>
  <cols>
    <col min="1" max="1" width="10.90625" bestFit="1" customWidth="1"/>
  </cols>
  <sheetData>
    <row r="1" spans="1:4" x14ac:dyDescent="0.35">
      <c r="A1" s="2" t="s">
        <v>11</v>
      </c>
      <c r="B1">
        <v>30</v>
      </c>
      <c r="C1">
        <v>-1</v>
      </c>
      <c r="D1">
        <v>-1</v>
      </c>
    </row>
    <row r="2" spans="1:4" x14ac:dyDescent="0.35">
      <c r="A2" s="2" t="s">
        <v>63</v>
      </c>
      <c r="B2">
        <v>60</v>
      </c>
      <c r="C2">
        <v>-1</v>
      </c>
      <c r="D2">
        <v>-1</v>
      </c>
    </row>
    <row r="3" spans="1:4" x14ac:dyDescent="0.35">
      <c r="A3" s="2" t="s">
        <v>61</v>
      </c>
      <c r="B3">
        <v>30</v>
      </c>
      <c r="C3">
        <v>-1</v>
      </c>
      <c r="D3">
        <v>-1</v>
      </c>
    </row>
    <row r="4" spans="1:4" x14ac:dyDescent="0.35">
      <c r="A4" s="2" t="s">
        <v>64</v>
      </c>
      <c r="B4">
        <v>30</v>
      </c>
      <c r="C4">
        <v>-1</v>
      </c>
      <c r="D4">
        <v>-1</v>
      </c>
    </row>
    <row r="5" spans="1:4" x14ac:dyDescent="0.35">
      <c r="A5" s="2" t="s">
        <v>37</v>
      </c>
      <c r="B5">
        <v>30</v>
      </c>
      <c r="C5">
        <v>-1</v>
      </c>
      <c r="D5">
        <v>-1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E4B7-072A-4830-B377-50155AA01394}">
  <dimension ref="A1:AM31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B17" sqref="AB17"/>
    </sheetView>
  </sheetViews>
  <sheetFormatPr defaultRowHeight="14.5" x14ac:dyDescent="0.35"/>
  <cols>
    <col min="1" max="1" width="17.453125" bestFit="1" customWidth="1"/>
    <col min="2" max="11" width="2.90625" bestFit="1" customWidth="1"/>
    <col min="12" max="39" width="3.90625" bestFit="1" customWidth="1"/>
  </cols>
  <sheetData>
    <row r="1" spans="1:39" ht="15" thickBot="1" x14ac:dyDescent="0.4">
      <c r="B1" s="11" t="s">
        <v>66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3"/>
    </row>
    <row r="2" spans="1:39" ht="15" thickBot="1" x14ac:dyDescent="0.4">
      <c r="A2" s="3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</row>
    <row r="3" spans="1:39" x14ac:dyDescent="0.35">
      <c r="A3" s="4" t="s">
        <v>11</v>
      </c>
      <c r="B3">
        <v>1</v>
      </c>
      <c r="C3">
        <v>2</v>
      </c>
    </row>
    <row r="4" spans="1:39" x14ac:dyDescent="0.35">
      <c r="A4" s="4" t="s">
        <v>62</v>
      </c>
      <c r="E4" t="s">
        <v>106</v>
      </c>
    </row>
    <row r="5" spans="1:39" x14ac:dyDescent="0.35">
      <c r="A5" s="4" t="s">
        <v>63</v>
      </c>
      <c r="B5">
        <v>1</v>
      </c>
      <c r="C5">
        <v>2</v>
      </c>
      <c r="D5">
        <v>3</v>
      </c>
      <c r="F5">
        <v>4</v>
      </c>
    </row>
    <row r="6" spans="1:39" x14ac:dyDescent="0.35">
      <c r="A6" s="4" t="s">
        <v>61</v>
      </c>
      <c r="B6">
        <v>1</v>
      </c>
      <c r="C6">
        <v>2</v>
      </c>
    </row>
    <row r="7" spans="1:39" x14ac:dyDescent="0.35">
      <c r="A7" s="4" t="s">
        <v>18</v>
      </c>
      <c r="I7">
        <v>3</v>
      </c>
      <c r="J7">
        <v>4</v>
      </c>
      <c r="K7">
        <v>5</v>
      </c>
    </row>
    <row r="8" spans="1:39" x14ac:dyDescent="0.35">
      <c r="A8" s="4" t="s">
        <v>64</v>
      </c>
      <c r="B8" t="s">
        <v>107</v>
      </c>
      <c r="C8" t="s">
        <v>108</v>
      </c>
      <c r="D8">
        <v>1</v>
      </c>
      <c r="F8">
        <v>2</v>
      </c>
    </row>
    <row r="9" spans="1:39" x14ac:dyDescent="0.35">
      <c r="A9" s="4" t="s">
        <v>16</v>
      </c>
      <c r="B9">
        <v>1</v>
      </c>
      <c r="C9">
        <v>2</v>
      </c>
    </row>
    <row r="10" spans="1:39" x14ac:dyDescent="0.35">
      <c r="A10" s="4" t="s">
        <v>17</v>
      </c>
      <c r="B10">
        <v>1</v>
      </c>
      <c r="C10">
        <v>2</v>
      </c>
    </row>
    <row r="11" spans="1:39" x14ac:dyDescent="0.35">
      <c r="A11" s="4" t="s">
        <v>19</v>
      </c>
      <c r="B11">
        <v>1</v>
      </c>
      <c r="C11">
        <v>2</v>
      </c>
    </row>
    <row r="12" spans="1:39" x14ac:dyDescent="0.35">
      <c r="A12" s="4" t="s">
        <v>20</v>
      </c>
      <c r="B12">
        <v>1</v>
      </c>
      <c r="C12">
        <v>2</v>
      </c>
      <c r="L12">
        <v>3</v>
      </c>
    </row>
    <row r="13" spans="1:39" x14ac:dyDescent="0.35">
      <c r="A13" s="4" t="s">
        <v>59</v>
      </c>
      <c r="D13">
        <v>1</v>
      </c>
      <c r="F13">
        <v>2</v>
      </c>
    </row>
    <row r="14" spans="1:39" x14ac:dyDescent="0.35">
      <c r="A14" s="4" t="s">
        <v>65</v>
      </c>
      <c r="B14">
        <v>5</v>
      </c>
      <c r="C14">
        <v>4</v>
      </c>
      <c r="M14">
        <v>2</v>
      </c>
      <c r="N14">
        <v>1</v>
      </c>
      <c r="Q14">
        <v>3</v>
      </c>
    </row>
    <row r="15" spans="1:39" x14ac:dyDescent="0.35">
      <c r="A15" s="4" t="s">
        <v>22</v>
      </c>
      <c r="B15">
        <v>2</v>
      </c>
      <c r="C15">
        <v>1</v>
      </c>
    </row>
    <row r="16" spans="1:39" x14ac:dyDescent="0.35">
      <c r="A16" s="4" t="s">
        <v>42</v>
      </c>
      <c r="Y16" t="s">
        <v>109</v>
      </c>
      <c r="Z16" t="s">
        <v>110</v>
      </c>
    </row>
    <row r="17" spans="1:39" x14ac:dyDescent="0.35">
      <c r="A17" s="4" t="s">
        <v>29</v>
      </c>
      <c r="M17">
        <v>5</v>
      </c>
      <c r="N17">
        <v>6</v>
      </c>
      <c r="O17">
        <v>3</v>
      </c>
      <c r="P17">
        <v>4</v>
      </c>
      <c r="R17">
        <v>7</v>
      </c>
      <c r="S17">
        <v>8</v>
      </c>
      <c r="T17">
        <v>9</v>
      </c>
      <c r="AA17">
        <v>1</v>
      </c>
      <c r="AB17">
        <v>2</v>
      </c>
    </row>
    <row r="18" spans="1:39" x14ac:dyDescent="0.35">
      <c r="A18" s="4" t="s">
        <v>32</v>
      </c>
      <c r="O18">
        <v>1</v>
      </c>
      <c r="P18">
        <v>2</v>
      </c>
    </row>
    <row r="19" spans="1:39" x14ac:dyDescent="0.35">
      <c r="A19" s="4" t="s">
        <v>30</v>
      </c>
      <c r="R19">
        <v>1</v>
      </c>
    </row>
    <row r="20" spans="1:39" x14ac:dyDescent="0.35">
      <c r="A20" s="4" t="s">
        <v>33</v>
      </c>
      <c r="O20">
        <v>1</v>
      </c>
      <c r="P20">
        <v>2</v>
      </c>
    </row>
    <row r="21" spans="1:39" x14ac:dyDescent="0.35">
      <c r="A21" s="4" t="s">
        <v>40</v>
      </c>
      <c r="V21" t="s">
        <v>111</v>
      </c>
    </row>
    <row r="22" spans="1:39" x14ac:dyDescent="0.35">
      <c r="A22" s="4" t="s">
        <v>34</v>
      </c>
      <c r="O22">
        <v>2</v>
      </c>
      <c r="P22">
        <v>1</v>
      </c>
      <c r="U22">
        <v>3</v>
      </c>
    </row>
    <row r="23" spans="1:39" x14ac:dyDescent="0.35">
      <c r="A23" s="4" t="s">
        <v>35</v>
      </c>
      <c r="O23">
        <v>2</v>
      </c>
      <c r="P23">
        <v>1</v>
      </c>
    </row>
    <row r="24" spans="1:39" x14ac:dyDescent="0.35">
      <c r="A24" s="4" t="s">
        <v>36</v>
      </c>
      <c r="O24">
        <v>2</v>
      </c>
      <c r="P24">
        <v>1</v>
      </c>
    </row>
    <row r="25" spans="1:39" x14ac:dyDescent="0.35">
      <c r="A25" s="4" t="s">
        <v>43</v>
      </c>
      <c r="AC25">
        <v>1</v>
      </c>
    </row>
    <row r="26" spans="1:39" x14ac:dyDescent="0.35">
      <c r="A26" s="4" t="s">
        <v>37</v>
      </c>
      <c r="O26">
        <v>2</v>
      </c>
      <c r="P26">
        <v>3</v>
      </c>
      <c r="AC26">
        <v>1</v>
      </c>
      <c r="AD26" t="s">
        <v>112</v>
      </c>
      <c r="AE26">
        <v>4</v>
      </c>
      <c r="AF26">
        <v>5</v>
      </c>
      <c r="AG26">
        <v>6</v>
      </c>
      <c r="AH26" t="s">
        <v>113</v>
      </c>
      <c r="AI26" t="s">
        <v>114</v>
      </c>
      <c r="AJ26" t="s">
        <v>115</v>
      </c>
    </row>
    <row r="27" spans="1:39" x14ac:dyDescent="0.35">
      <c r="A27" s="4" t="s">
        <v>57</v>
      </c>
      <c r="D27">
        <v>2</v>
      </c>
      <c r="F27">
        <v>1</v>
      </c>
    </row>
    <row r="28" spans="1:39" x14ac:dyDescent="0.35">
      <c r="A28" s="4" t="s">
        <v>44</v>
      </c>
      <c r="AK28">
        <v>3</v>
      </c>
      <c r="AL28" t="s">
        <v>116</v>
      </c>
    </row>
    <row r="29" spans="1:39" x14ac:dyDescent="0.35">
      <c r="A29" s="4" t="s">
        <v>38</v>
      </c>
      <c r="O29">
        <v>1</v>
      </c>
      <c r="P29">
        <v>2</v>
      </c>
    </row>
    <row r="30" spans="1:39" x14ac:dyDescent="0.35">
      <c r="A30" s="4" t="s">
        <v>56</v>
      </c>
      <c r="AM30" t="s">
        <v>117</v>
      </c>
    </row>
    <row r="31" spans="1:39" x14ac:dyDescent="0.35">
      <c r="A31" s="4" t="s">
        <v>39</v>
      </c>
      <c r="O31">
        <v>1</v>
      </c>
      <c r="P31">
        <v>2</v>
      </c>
    </row>
  </sheetData>
  <mergeCells count="1">
    <mergeCell ref="B1:AM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B0</vt:lpstr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B10</vt:lpstr>
      <vt:lpstr>B11</vt:lpstr>
      <vt:lpstr>B12</vt:lpstr>
      <vt:lpstr>B13</vt:lpstr>
      <vt:lpstr>B14</vt:lpstr>
      <vt:lpstr>B15</vt:lpstr>
      <vt:lpstr>B16</vt:lpstr>
      <vt:lpstr>B17</vt:lpstr>
      <vt:lpstr>B18</vt:lpstr>
      <vt:lpstr>B19</vt:lpstr>
      <vt:lpstr>B20</vt:lpstr>
      <vt:lpstr>B21</vt:lpstr>
      <vt:lpstr>B22</vt:lpstr>
      <vt:lpstr>B23</vt:lpstr>
      <vt:lpstr>B24</vt:lpstr>
      <vt:lpstr>B25</vt:lpstr>
      <vt:lpstr>B26</vt:lpstr>
      <vt:lpstr>B27</vt:lpstr>
      <vt:lpstr>B28</vt:lpstr>
      <vt:lpstr>B29</vt:lpstr>
      <vt:lpstr>B30</vt:lpstr>
      <vt:lpstr>B31</vt:lpstr>
      <vt:lpstr>B32</vt:lpstr>
      <vt:lpstr>B33</vt:lpstr>
      <vt:lpstr>B34</vt:lpstr>
      <vt:lpstr>B35</vt:lpstr>
      <vt:lpstr>B36</vt:lpstr>
      <vt:lpstr>B37</vt:lpstr>
      <vt:lpstr>Connections</vt:lpstr>
      <vt:lpstr>Connection analysis</vt:lpstr>
      <vt:lpstr>BlockSections</vt:lpstr>
      <vt:lpstr>Stations</vt:lpstr>
      <vt:lpstr>Areas</vt:lpstr>
      <vt:lpstr>Trial Timetable</vt:lpstr>
      <vt:lpstr>PlatformTrackID VS Tracklines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Administrator</dc:creator>
  <cp:lastModifiedBy>Egidio Quaglietta</cp:lastModifiedBy>
  <dcterms:created xsi:type="dcterms:W3CDTF">2015-06-05T18:17:20Z</dcterms:created>
  <dcterms:modified xsi:type="dcterms:W3CDTF">2024-04-15T21:02:07Z</dcterms:modified>
</cp:coreProperties>
</file>