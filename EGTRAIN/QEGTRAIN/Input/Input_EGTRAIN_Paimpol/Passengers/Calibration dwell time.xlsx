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calAdmin\Documents\EGTRAIN_with_Passengers_including_PAX_GUI_and_All_CaseStudies\EGTRAIN\QEGTRAIN\Input\Input_EGTRAIN_Paimpol\Passengers\"/>
    </mc:Choice>
  </mc:AlternateContent>
  <xr:revisionPtr revIDLastSave="0" documentId="13_ncr:1_{7F40C63A-9BF9-46D6-88EF-9FED9BEC125F}" xr6:coauthVersionLast="47" xr6:coauthVersionMax="47" xr10:uidLastSave="{00000000-0000-0000-0000-000000000000}"/>
  <bookViews>
    <workbookView xWindow="4850" yWindow="0" windowWidth="13610" windowHeight="9890" firstSheet="1" activeTab="1" xr2:uid="{80C9F627-5ED4-4FCB-B34E-AF1256418892}"/>
  </bookViews>
  <sheets>
    <sheet name="Gibson_original parameters" sheetId="1" r:id="rId1"/>
    <sheet name="Gibson_Calibrated parameters " sheetId="3" r:id="rId2"/>
    <sheet name="Sheet1" sheetId="2" r:id="rId3"/>
  </sheets>
  <definedNames>
    <definedName name="solver_adj" localSheetId="1" hidden="1">'Gibson_Calibrated parameters '!$F$2:$F$8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'Gibson_Calibrated parameters '!$F$2:$F$8</definedName>
    <definedName name="solver_lhs2" localSheetId="1" hidden="1">'Gibson_Calibrated parameters '!$F$2:$F$8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'Gibson_Calibrated parameters '!$C$16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2" localSheetId="1" hidden="1">3</definedName>
    <definedName name="solver_rhs1" localSheetId="1" hidden="1">0</definedName>
    <definedName name="solver_rhs2" localSheetId="1" hidden="1">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40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C13" i="3" l="1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20" i="3"/>
  <c r="B28" i="3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27" i="3"/>
  <c r="C14" i="3"/>
  <c r="F9" i="3"/>
  <c r="F11" i="3"/>
  <c r="K4" i="3"/>
  <c r="J3" i="3"/>
  <c r="J2" i="3"/>
  <c r="K3" i="3" s="1"/>
  <c r="F9" i="1"/>
  <c r="F10" i="1"/>
  <c r="F11" i="1"/>
  <c r="C14" i="1" s="1"/>
  <c r="K4" i="1"/>
  <c r="K3" i="1"/>
  <c r="J3" i="1"/>
  <c r="J2" i="1"/>
  <c r="C16" i="3" l="1"/>
  <c r="C13" i="1"/>
  <c r="C16" i="1" s="1"/>
</calcChain>
</file>

<file path=xl/sharedStrings.xml><?xml version="1.0" encoding="utf-8"?>
<sst xmlns="http://schemas.openxmlformats.org/spreadsheetml/2006/main" count="41" uniqueCount="23">
  <si>
    <t>Number alighting per door</t>
  </si>
  <si>
    <t>beta0</t>
  </si>
  <si>
    <t>beta1</t>
  </si>
  <si>
    <t>beta2</t>
  </si>
  <si>
    <t>beta3</t>
  </si>
  <si>
    <t>beta4</t>
  </si>
  <si>
    <t>beta5</t>
  </si>
  <si>
    <t>beta6</t>
  </si>
  <si>
    <t>beta7</t>
  </si>
  <si>
    <t>Delta 1</t>
  </si>
  <si>
    <t>Delta 2</t>
  </si>
  <si>
    <t>Delta 3</t>
  </si>
  <si>
    <t>Max number boarding per door</t>
  </si>
  <si>
    <t>Max number aligthing per door</t>
  </si>
  <si>
    <t>Boarding Time (Max board/aligth door)</t>
  </si>
  <si>
    <t>Aligthing time (Max board/aligth door)</t>
  </si>
  <si>
    <t>Platform congestion index</t>
  </si>
  <si>
    <t>Car onboard congestion index</t>
  </si>
  <si>
    <t>Total dwell time train</t>
  </si>
  <si>
    <t>Total dwell time train [s]</t>
  </si>
  <si>
    <t>Objective dwell time to calibrate to with 10 boarding and 10  alighting pax [s]</t>
  </si>
  <si>
    <t>aligthing pax</t>
  </si>
  <si>
    <t>alighiting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</si>
</sst>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'Gibson_Calibrated parameters '!$B$20:$B$60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'Gibson_Calibrated parameters '!$C$20:$C$60</c:f>
              <c:numCache>
                <c:formatCode>General</c:formatCode>
                <c:ptCount val="41"/>
                <c:pt idx="0">
                  <c:v>22.241423177488564</c:v>
                </c:pt>
                <c:pt idx="1">
                  <c:v>21.349328713443764</c:v>
                </c:pt>
                <c:pt idx="2">
                  <c:v>20.49301579657913</c:v>
                </c:pt>
                <c:pt idx="3">
                  <c:v>19.671049243547824</c:v>
                </c:pt>
                <c:pt idx="4">
                  <c:v>18.882051435625026</c:v>
                </c:pt>
                <c:pt idx="5">
                  <c:v>18.124700009814322</c:v>
                </c:pt>
                <c:pt idx="6">
                  <c:v>17.397725642562797</c:v>
                </c:pt>
                <c:pt idx="7">
                  <c:v>16.699909922370512</c:v>
                </c:pt>
                <c:pt idx="8">
                  <c:v>16.030083307728678</c:v>
                </c:pt>
                <c:pt idx="9">
                  <c:v>15.387123166964139</c:v>
                </c:pt>
                <c:pt idx="10">
                  <c:v>14.769951896704889</c:v>
                </c:pt>
                <c:pt idx="11">
                  <c:v>14.177535115813159</c:v>
                </c:pt>
                <c:pt idx="12">
                  <c:v>13.608879931759159</c:v>
                </c:pt>
                <c:pt idx="13">
                  <c:v>13.063033276529806</c:v>
                </c:pt>
                <c:pt idx="14">
                  <c:v>12.539080309283527</c:v>
                </c:pt>
                <c:pt idx="15">
                  <c:v>12.036142883073911</c:v>
                </c:pt>
                <c:pt idx="16">
                  <c:v>11.553378073072446</c:v>
                </c:pt>
                <c:pt idx="17">
                  <c:v>11.089976763823659</c:v>
                </c:pt>
                <c:pt idx="18">
                  <c:v>10.645162293164875</c:v>
                </c:pt>
                <c:pt idx="19">
                  <c:v>10.218189150537805</c:v>
                </c:pt>
                <c:pt idx="20">
                  <c:v>9.8083417275103226</c:v>
                </c:pt>
                <c:pt idx="21">
                  <c:v>9.414933118414309</c:v>
                </c:pt>
                <c:pt idx="22">
                  <c:v>9.0373039690894394</c:v>
                </c:pt>
                <c:pt idx="23">
                  <c:v>8.6748213718033629</c:v>
                </c:pt>
                <c:pt idx="24">
                  <c:v>8.3268778044962115</c:v>
                </c:pt>
                <c:pt idx="25">
                  <c:v>7.9928901125715726</c:v>
                </c:pt>
                <c:pt idx="26">
                  <c:v>7.6722985315274004</c:v>
                </c:pt>
                <c:pt idx="27">
                  <c:v>7.3645657487888325</c:v>
                </c:pt>
                <c:pt idx="28">
                  <c:v>7.0691760031704804</c:v>
                </c:pt>
                <c:pt idx="29">
                  <c:v>6.785634220458947</c:v>
                </c:pt>
                <c:pt idx="30">
                  <c:v>6.5134651836667636</c:v>
                </c:pt>
                <c:pt idx="31">
                  <c:v>6.2522127365671185</c:v>
                </c:pt>
                <c:pt idx="32">
                  <c:v>6.0014390191744642</c:v>
                </c:pt>
                <c:pt idx="33">
                  <c:v>5.7607237338897139</c:v>
                </c:pt>
                <c:pt idx="34">
                  <c:v>5.5296634410800349</c:v>
                </c:pt>
                <c:pt idx="35">
                  <c:v>5.3078708829126562</c:v>
                </c:pt>
                <c:pt idx="36">
                  <c:v>5.0949743343094358</c:v>
                </c:pt>
                <c:pt idx="37">
                  <c:v>4.8906169799343724</c:v>
                </c:pt>
                <c:pt idx="38">
                  <c:v>4.6944563161698873</c:v>
                </c:pt>
                <c:pt idx="39">
                  <c:v>4.5061635770796089</c:v>
                </c:pt>
                <c:pt idx="40">
                  <c:v>4.325423183395551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25-47AE-A952-E8BE425DD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955439"/>
        <c:axId val="953957359"/>
      </c:scatterChart>
      <c:valAx>
        <c:axId val="95395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53957359"/>
        <c:crosses val="autoZero"/>
        <c:crossBetween val="midCat"/>
      </c:valAx>
      <c:valAx>
        <c:axId val="95395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5395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136525</xdr:colOff>
      <xdr:row>46</xdr:row>
      <xdr:rowOff>136525</xdr:rowOff>
    </xdr:from>
    <xdr:to>
      <xdr:col>10</xdr:col>
      <xdr:colOff>384175</xdr:colOff>
      <xdr:row>61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535C90-4910-2A40-10D9-D24E4FD15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52005-9F8E-42F4-858E-EAB0E005942A}">
  <dimension ref="A1:K16"/>
  <sheetViews>
    <sheetView topLeftCell="B1" workbookViewId="0">
      <selection activeCell="C13" sqref="C13"/>
    </sheetView>
  </sheetViews>
  <sheetFormatPr defaultRowHeight="14.5" x14ac:dyDescent="0.35"/>
  <cols>
    <col min="1" max="1" width="23.08984375" bestFit="1" customWidth="1"/>
    <col min="2" max="2" width="28.453125" customWidth="1"/>
    <col min="3" max="3" width="12.1796875" bestFit="1" customWidth="1"/>
  </cols>
  <sheetData>
    <row r="1" spans="1:11" x14ac:dyDescent="0.35">
      <c r="A1" t="s">
        <v>0</v>
      </c>
      <c r="B1" t="s">
        <v>12</v>
      </c>
      <c r="C1">
        <v>10</v>
      </c>
      <c r="E1" t="s">
        <v>1</v>
      </c>
      <c r="F1">
        <v>5.6310000000000002</v>
      </c>
    </row>
    <row r="2" spans="1:11" x14ac:dyDescent="0.35">
      <c r="A2">
        <v>10</v>
      </c>
      <c r="B2" t="s">
        <v>13</v>
      </c>
      <c r="C2">
        <v>10</v>
      </c>
      <c r="E2" t="s">
        <v>2</v>
      </c>
      <c r="F2">
        <v>0.32</v>
      </c>
      <c r="J2">
        <f>7*3600</f>
        <v>25200</v>
      </c>
    </row>
    <row r="3" spans="1:11" x14ac:dyDescent="0.35">
      <c r="B3" t="s">
        <v>17</v>
      </c>
      <c r="C3">
        <v>0.6</v>
      </c>
      <c r="E3" t="s">
        <v>3</v>
      </c>
      <c r="F3">
        <v>0.81499999999999995</v>
      </c>
      <c r="J3">
        <f>20*60</f>
        <v>1200</v>
      </c>
      <c r="K3">
        <f>J2+J3</f>
        <v>26400</v>
      </c>
    </row>
    <row r="4" spans="1:11" x14ac:dyDescent="0.35">
      <c r="B4" t="s">
        <v>16</v>
      </c>
      <c r="C4">
        <v>0.5</v>
      </c>
      <c r="E4" t="s">
        <v>4</v>
      </c>
      <c r="F4">
        <v>0.56399999999999995</v>
      </c>
      <c r="K4">
        <f>26063-25840</f>
        <v>223</v>
      </c>
    </row>
    <row r="5" spans="1:11" x14ac:dyDescent="0.35">
      <c r="E5" t="s">
        <v>5</v>
      </c>
      <c r="F5">
        <v>1.6E-2</v>
      </c>
    </row>
    <row r="6" spans="1:11" x14ac:dyDescent="0.35">
      <c r="E6" t="s">
        <v>6</v>
      </c>
      <c r="F6">
        <v>2.012</v>
      </c>
    </row>
    <row r="7" spans="1:11" x14ac:dyDescent="0.35">
      <c r="E7" t="s">
        <v>7</v>
      </c>
      <c r="F7">
        <v>8.5999999999999993E-2</v>
      </c>
    </row>
    <row r="8" spans="1:11" x14ac:dyDescent="0.35">
      <c r="E8" t="s">
        <v>8</v>
      </c>
      <c r="F8">
        <v>0.56200000000000006</v>
      </c>
    </row>
    <row r="9" spans="1:11" x14ac:dyDescent="0.35">
      <c r="E9" t="s">
        <v>9</v>
      </c>
      <c r="F9">
        <f>IF(C4&gt;0.65,1,0)</f>
        <v>0</v>
      </c>
    </row>
    <row r="10" spans="1:11" x14ac:dyDescent="0.35">
      <c r="E10" t="s">
        <v>10</v>
      </c>
      <c r="F10">
        <f>IF(C1&gt;15,1,0)</f>
        <v>0</v>
      </c>
    </row>
    <row r="11" spans="1:11" x14ac:dyDescent="0.35">
      <c r="E11" t="s">
        <v>11</v>
      </c>
      <c r="F11">
        <f>IF(C3&gt;0.7,1,0)</f>
        <v>0</v>
      </c>
    </row>
    <row r="13" spans="1:11" s="1" customFormat="1" ht="29" x14ac:dyDescent="0.35">
      <c r="B13" s="2" t="s">
        <v>14</v>
      </c>
      <c r="C13" s="1">
        <f>$F$3+$F$4*$F$9+$F$5*F10</f>
        <v>0.81499999999999995</v>
      </c>
    </row>
    <row r="14" spans="1:11" s="1" customFormat="1" ht="29" x14ac:dyDescent="0.35">
      <c r="B14" s="2" t="s">
        <v>15</v>
      </c>
      <c r="C14" s="1">
        <f>$F$6*EXP(-$F$7*C2)+$F$8*$F$11</f>
        <v>0.85140210962331075</v>
      </c>
    </row>
    <row r="16" spans="1:11" x14ac:dyDescent="0.35">
      <c r="B16" s="3" t="s">
        <v>18</v>
      </c>
      <c r="C16">
        <f>$F$1+$F$2*F9+(C13+C14)</f>
        <v>7.2974021096233113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0BD21-89DA-46F9-A286-469CFDCCC893}">
  <dimension ref="A1:K60"/>
  <sheetViews>
    <sheetView tabSelected="1" topLeftCell="B1" workbookViewId="0">
      <selection activeCell="F6" sqref="F6"/>
    </sheetView>
  </sheetViews>
  <sheetFormatPr defaultRowHeight="14.5" x14ac:dyDescent="0.35"/>
  <cols>
    <col min="1" max="1" width="23.08984375" bestFit="1" customWidth="1"/>
    <col min="2" max="2" width="28.453125" customWidth="1"/>
    <col min="3" max="3" width="12.1796875" bestFit="1" customWidth="1"/>
    <col min="5" max="5" width="18.26953125" customWidth="1"/>
  </cols>
  <sheetData>
    <row r="1" spans="1:11" x14ac:dyDescent="0.35">
      <c r="A1" t="s">
        <v>0</v>
      </c>
      <c r="B1" t="s">
        <v>12</v>
      </c>
      <c r="C1">
        <v>10</v>
      </c>
      <c r="E1" t="s">
        <v>1</v>
      </c>
      <c r="F1">
        <v>7</v>
      </c>
    </row>
    <row r="2" spans="1:11" x14ac:dyDescent="0.35">
      <c r="A2">
        <v>10</v>
      </c>
      <c r="B2" t="s">
        <v>13</v>
      </c>
      <c r="C2">
        <v>10</v>
      </c>
      <c r="E2" t="s">
        <v>2</v>
      </c>
      <c r="F2">
        <v>0.32</v>
      </c>
      <c r="J2">
        <f>7*3600</f>
        <v>25200</v>
      </c>
    </row>
    <row r="3" spans="1:11" x14ac:dyDescent="0.35">
      <c r="B3" t="s">
        <v>17</v>
      </c>
      <c r="C3">
        <v>0.6</v>
      </c>
      <c r="E3" t="s">
        <v>3</v>
      </c>
      <c r="F3">
        <v>18.230046400212959</v>
      </c>
      <c r="J3">
        <f>20*60</f>
        <v>1200</v>
      </c>
      <c r="K3">
        <f>J2+J3</f>
        <v>26400</v>
      </c>
    </row>
    <row r="4" spans="1:11" x14ac:dyDescent="0.35">
      <c r="B4" t="s">
        <v>16</v>
      </c>
      <c r="C4">
        <v>0.5</v>
      </c>
      <c r="E4" t="s">
        <v>4</v>
      </c>
      <c r="F4">
        <v>0.56399999999999995</v>
      </c>
      <c r="K4">
        <f>26063-25840</f>
        <v>223</v>
      </c>
    </row>
    <row r="5" spans="1:11" x14ac:dyDescent="0.35">
      <c r="E5" t="s">
        <v>5</v>
      </c>
      <c r="F5">
        <v>4.8384201837561092</v>
      </c>
    </row>
    <row r="6" spans="1:11" x14ac:dyDescent="0.35">
      <c r="E6" t="s">
        <v>6</v>
      </c>
      <c r="F6">
        <v>22.241423177488564</v>
      </c>
    </row>
    <row r="7" spans="1:11" x14ac:dyDescent="0.35">
      <c r="E7" t="s">
        <v>7</v>
      </c>
      <c r="F7">
        <v>4.0936161941487338E-2</v>
      </c>
    </row>
    <row r="8" spans="1:11" x14ac:dyDescent="0.35">
      <c r="E8" t="s">
        <v>8</v>
      </c>
      <c r="F8">
        <v>0.56200000000000006</v>
      </c>
    </row>
    <row r="9" spans="1:11" x14ac:dyDescent="0.35">
      <c r="E9" t="s">
        <v>9</v>
      </c>
      <c r="F9">
        <f>IF(C4&gt;0.65,1,0)</f>
        <v>0</v>
      </c>
    </row>
    <row r="10" spans="1:11" x14ac:dyDescent="0.35">
      <c r="E10" t="s">
        <v>10</v>
      </c>
      <c r="F10">
        <f>IF(C1&gt;15,1,0)</f>
        <v>0</v>
      </c>
    </row>
    <row r="11" spans="1:11" x14ac:dyDescent="0.35">
      <c r="E11" t="s">
        <v>11</v>
      </c>
      <c r="F11">
        <f>IF(C3&gt;0.7,1,0)</f>
        <v>0</v>
      </c>
    </row>
    <row r="13" spans="1:11" s="1" customFormat="1" ht="29" x14ac:dyDescent="0.35">
      <c r="B13" s="2" t="s">
        <v>14</v>
      </c>
      <c r="C13" s="1">
        <f>$F$3+$F$4*$F$9+$F$5*F10</f>
        <v>18.230046400212959</v>
      </c>
    </row>
    <row r="14" spans="1:11" s="1" customFormat="1" ht="29" x14ac:dyDescent="0.35">
      <c r="B14" s="2" t="s">
        <v>15</v>
      </c>
      <c r="C14" s="1">
        <f>$F$6*EXP(-$F$7*C2)+$F$8*$F$11</f>
        <v>14.769951896704889</v>
      </c>
    </row>
    <row r="16" spans="1:11" ht="58" x14ac:dyDescent="0.35">
      <c r="B16" s="3" t="s">
        <v>19</v>
      </c>
      <c r="C16">
        <f>$F$1+$F$2*F9+(C13+C14)</f>
        <v>39.999998296917852</v>
      </c>
      <c r="E16" s="4" t="s">
        <v>20</v>
      </c>
      <c r="F16">
        <v>40</v>
      </c>
    </row>
    <row r="19" spans="2:3" x14ac:dyDescent="0.35">
      <c r="B19" t="s">
        <v>21</v>
      </c>
      <c r="C19" t="s">
        <v>22</v>
      </c>
    </row>
    <row r="20" spans="2:3" x14ac:dyDescent="0.35">
      <c r="B20">
        <v>0</v>
      </c>
      <c r="C20">
        <f>$F$6*EXP(-$F$7*B20)</f>
        <v>22.241423177488564</v>
      </c>
    </row>
    <row r="21" spans="2:3" x14ac:dyDescent="0.35">
      <c r="B21">
        <v>1</v>
      </c>
      <c r="C21">
        <f t="shared" ref="C21:C60" si="0">$F$6*EXP(-$F$7*B21)</f>
        <v>21.349328713443764</v>
      </c>
    </row>
    <row r="22" spans="2:3" x14ac:dyDescent="0.35">
      <c r="B22">
        <v>2</v>
      </c>
      <c r="C22">
        <f t="shared" si="0"/>
        <v>20.49301579657913</v>
      </c>
    </row>
    <row r="23" spans="2:3" x14ac:dyDescent="0.35">
      <c r="B23">
        <v>3</v>
      </c>
      <c r="C23">
        <f t="shared" si="0"/>
        <v>19.671049243547824</v>
      </c>
    </row>
    <row r="24" spans="2:3" x14ac:dyDescent="0.35">
      <c r="B24">
        <v>4</v>
      </c>
      <c r="C24">
        <f t="shared" si="0"/>
        <v>18.882051435625026</v>
      </c>
    </row>
    <row r="25" spans="2:3" x14ac:dyDescent="0.35">
      <c r="B25">
        <v>5</v>
      </c>
      <c r="C25">
        <f t="shared" si="0"/>
        <v>18.124700009814322</v>
      </c>
    </row>
    <row r="26" spans="2:3" x14ac:dyDescent="0.35">
      <c r="B26">
        <v>6</v>
      </c>
      <c r="C26">
        <f t="shared" si="0"/>
        <v>17.397725642562797</v>
      </c>
    </row>
    <row r="27" spans="2:3" x14ac:dyDescent="0.35">
      <c r="B27">
        <f>B26+1</f>
        <v>7</v>
      </c>
      <c r="C27">
        <f t="shared" si="0"/>
        <v>16.699909922370512</v>
      </c>
    </row>
    <row r="28" spans="2:3" x14ac:dyDescent="0.35">
      <c r="B28">
        <f t="shared" ref="B28:B60" si="1">B27+1</f>
        <v>8</v>
      </c>
      <c r="C28">
        <f t="shared" si="0"/>
        <v>16.030083307728678</v>
      </c>
    </row>
    <row r="29" spans="2:3" x14ac:dyDescent="0.35">
      <c r="B29">
        <f t="shared" si="1"/>
        <v>9</v>
      </c>
      <c r="C29">
        <f t="shared" si="0"/>
        <v>15.387123166964139</v>
      </c>
    </row>
    <row r="30" spans="2:3" x14ac:dyDescent="0.35">
      <c r="B30">
        <f t="shared" si="1"/>
        <v>10</v>
      </c>
      <c r="C30">
        <f t="shared" si="0"/>
        <v>14.769951896704889</v>
      </c>
    </row>
    <row r="31" spans="2:3" x14ac:dyDescent="0.35">
      <c r="B31">
        <f t="shared" si="1"/>
        <v>11</v>
      </c>
      <c r="C31">
        <f t="shared" si="0"/>
        <v>14.177535115813159</v>
      </c>
    </row>
    <row r="32" spans="2:3" x14ac:dyDescent="0.35">
      <c r="B32">
        <f t="shared" si="1"/>
        <v>12</v>
      </c>
      <c r="C32">
        <f t="shared" si="0"/>
        <v>13.608879931759159</v>
      </c>
    </row>
    <row r="33" spans="2:3" x14ac:dyDescent="0.35">
      <c r="B33">
        <f t="shared" si="1"/>
        <v>13</v>
      </c>
      <c r="C33">
        <f t="shared" si="0"/>
        <v>13.063033276529806</v>
      </c>
    </row>
    <row r="34" spans="2:3" x14ac:dyDescent="0.35">
      <c r="B34">
        <f t="shared" si="1"/>
        <v>14</v>
      </c>
      <c r="C34">
        <f t="shared" si="0"/>
        <v>12.539080309283527</v>
      </c>
    </row>
    <row r="35" spans="2:3" x14ac:dyDescent="0.35">
      <c r="B35">
        <f t="shared" si="1"/>
        <v>15</v>
      </c>
      <c r="C35">
        <f t="shared" si="0"/>
        <v>12.036142883073911</v>
      </c>
    </row>
    <row r="36" spans="2:3" x14ac:dyDescent="0.35">
      <c r="B36">
        <f t="shared" si="1"/>
        <v>16</v>
      </c>
      <c r="C36">
        <f t="shared" si="0"/>
        <v>11.553378073072446</v>
      </c>
    </row>
    <row r="37" spans="2:3" x14ac:dyDescent="0.35">
      <c r="B37">
        <f t="shared" si="1"/>
        <v>17</v>
      </c>
      <c r="C37">
        <f t="shared" si="0"/>
        <v>11.089976763823659</v>
      </c>
    </row>
    <row r="38" spans="2:3" x14ac:dyDescent="0.35">
      <c r="B38">
        <f t="shared" si="1"/>
        <v>18</v>
      </c>
      <c r="C38">
        <f t="shared" si="0"/>
        <v>10.645162293164875</v>
      </c>
    </row>
    <row r="39" spans="2:3" x14ac:dyDescent="0.35">
      <c r="B39">
        <f t="shared" si="1"/>
        <v>19</v>
      </c>
      <c r="C39">
        <f t="shared" si="0"/>
        <v>10.218189150537805</v>
      </c>
    </row>
    <row r="40" spans="2:3" x14ac:dyDescent="0.35">
      <c r="B40">
        <f t="shared" si="1"/>
        <v>20</v>
      </c>
      <c r="C40">
        <f t="shared" si="0"/>
        <v>9.8083417275103226</v>
      </c>
    </row>
    <row r="41" spans="2:3" x14ac:dyDescent="0.35">
      <c r="B41">
        <f t="shared" si="1"/>
        <v>21</v>
      </c>
      <c r="C41">
        <f t="shared" si="0"/>
        <v>9.414933118414309</v>
      </c>
    </row>
    <row r="42" spans="2:3" x14ac:dyDescent="0.35">
      <c r="B42">
        <f t="shared" si="1"/>
        <v>22</v>
      </c>
      <c r="C42">
        <f t="shared" si="0"/>
        <v>9.0373039690894394</v>
      </c>
    </row>
    <row r="43" spans="2:3" x14ac:dyDescent="0.35">
      <c r="B43">
        <f t="shared" si="1"/>
        <v>23</v>
      </c>
      <c r="C43">
        <f t="shared" si="0"/>
        <v>8.6748213718033629</v>
      </c>
    </row>
    <row r="44" spans="2:3" x14ac:dyDescent="0.35">
      <c r="B44">
        <f t="shared" si="1"/>
        <v>24</v>
      </c>
      <c r="C44">
        <f t="shared" si="0"/>
        <v>8.3268778044962115</v>
      </c>
    </row>
    <row r="45" spans="2:3" x14ac:dyDescent="0.35">
      <c r="B45">
        <f t="shared" si="1"/>
        <v>25</v>
      </c>
      <c r="C45">
        <f t="shared" si="0"/>
        <v>7.9928901125715726</v>
      </c>
    </row>
    <row r="46" spans="2:3" x14ac:dyDescent="0.35">
      <c r="B46">
        <f t="shared" si="1"/>
        <v>26</v>
      </c>
      <c r="C46">
        <f t="shared" si="0"/>
        <v>7.6722985315274004</v>
      </c>
    </row>
    <row r="47" spans="2:3" x14ac:dyDescent="0.35">
      <c r="B47">
        <f t="shared" si="1"/>
        <v>27</v>
      </c>
      <c r="C47">
        <f t="shared" si="0"/>
        <v>7.3645657487888325</v>
      </c>
    </row>
    <row r="48" spans="2:3" x14ac:dyDescent="0.35">
      <c r="B48">
        <f t="shared" si="1"/>
        <v>28</v>
      </c>
      <c r="C48">
        <f t="shared" si="0"/>
        <v>7.0691760031704804</v>
      </c>
    </row>
    <row r="49" spans="2:3" x14ac:dyDescent="0.35">
      <c r="B49">
        <f t="shared" si="1"/>
        <v>29</v>
      </c>
      <c r="C49">
        <f t="shared" si="0"/>
        <v>6.785634220458947</v>
      </c>
    </row>
    <row r="50" spans="2:3" x14ac:dyDescent="0.35">
      <c r="B50">
        <f t="shared" si="1"/>
        <v>30</v>
      </c>
      <c r="C50">
        <f t="shared" si="0"/>
        <v>6.5134651836667636</v>
      </c>
    </row>
    <row r="51" spans="2:3" x14ac:dyDescent="0.35">
      <c r="B51">
        <f t="shared" si="1"/>
        <v>31</v>
      </c>
      <c r="C51">
        <f t="shared" si="0"/>
        <v>6.2522127365671185</v>
      </c>
    </row>
    <row r="52" spans="2:3" x14ac:dyDescent="0.35">
      <c r="B52">
        <f t="shared" si="1"/>
        <v>32</v>
      </c>
      <c r="C52">
        <f t="shared" si="0"/>
        <v>6.0014390191744642</v>
      </c>
    </row>
    <row r="53" spans="2:3" x14ac:dyDescent="0.35">
      <c r="B53">
        <f t="shared" si="1"/>
        <v>33</v>
      </c>
      <c r="C53">
        <f t="shared" si="0"/>
        <v>5.7607237338897139</v>
      </c>
    </row>
    <row r="54" spans="2:3" x14ac:dyDescent="0.35">
      <c r="B54">
        <f t="shared" si="1"/>
        <v>34</v>
      </c>
      <c r="C54">
        <f t="shared" si="0"/>
        <v>5.5296634410800349</v>
      </c>
    </row>
    <row r="55" spans="2:3" x14ac:dyDescent="0.35">
      <c r="B55">
        <f t="shared" si="1"/>
        <v>35</v>
      </c>
      <c r="C55">
        <f t="shared" si="0"/>
        <v>5.3078708829126562</v>
      </c>
    </row>
    <row r="56" spans="2:3" x14ac:dyDescent="0.35">
      <c r="B56">
        <f t="shared" si="1"/>
        <v>36</v>
      </c>
      <c r="C56">
        <f t="shared" si="0"/>
        <v>5.0949743343094358</v>
      </c>
    </row>
    <row r="57" spans="2:3" x14ac:dyDescent="0.35">
      <c r="B57">
        <f t="shared" si="1"/>
        <v>37</v>
      </c>
      <c r="C57">
        <f t="shared" si="0"/>
        <v>4.8906169799343724</v>
      </c>
    </row>
    <row r="58" spans="2:3" x14ac:dyDescent="0.35">
      <c r="B58">
        <f t="shared" si="1"/>
        <v>38</v>
      </c>
      <c r="C58">
        <f t="shared" si="0"/>
        <v>4.6944563161698873</v>
      </c>
    </row>
    <row r="59" spans="2:3" x14ac:dyDescent="0.35">
      <c r="B59">
        <f t="shared" si="1"/>
        <v>39</v>
      </c>
      <c r="C59">
        <f t="shared" si="0"/>
        <v>4.5061635770796089</v>
      </c>
    </row>
    <row r="60" spans="2:3" x14ac:dyDescent="0.35">
      <c r="B60">
        <f t="shared" si="1"/>
        <v>40</v>
      </c>
      <c r="C60">
        <f t="shared" si="0"/>
        <v>4.325423183395551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FF9C4-4489-42DB-971D-BD22FAD3DB4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Gibson_original parameters</vt:lpstr>
      <vt:lpstr>Gibson_Calibrated parameters </vt:lpstr>
      <vt:lpstr>Sheet1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Egidio Quaglietta</dc:creator>
  <cp:lastModifiedBy>Egidio Quaglietta</cp:lastModifiedBy>
  <dcterms:created xsi:type="dcterms:W3CDTF">2024-04-20T11:41:23Z</dcterms:created>
  <dcterms:modified xsi:type="dcterms:W3CDTF">2024-04-21T11:24:16Z</dcterms:modified>
</cp:coreProperties>
</file>