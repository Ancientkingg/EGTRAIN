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alAdmin\Documents\EGTRAIN_with_Passengers\EGTRAIN\QEGTRAIN\Input\Input_EGTRAIN_Paimpol\TimeTable\Entrance delays\"/>
    </mc:Choice>
  </mc:AlternateContent>
  <xr:revisionPtr revIDLastSave="0" documentId="8_{7BF409D4-0758-4D6F-8378-7B5E0ABC4BA2}" xr6:coauthVersionLast="47" xr6:coauthVersionMax="47" xr10:uidLastSave="{00000000-0000-0000-0000-000000000000}"/>
  <bookViews>
    <workbookView xWindow="-110" yWindow="-110" windowWidth="19420" windowHeight="11020" tabRatio="500" activeTab="1" xr2:uid="{00000000-000D-0000-FFFF-FFFF00000000}"/>
  </bookViews>
  <sheets>
    <sheet name="Table horaire" sheetId="1" r:id="rId1"/>
    <sheet name="departu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7" i="2" l="1"/>
  <c r="O26" i="2"/>
  <c r="O8" i="2"/>
  <c r="O7" i="2"/>
  <c r="U14" i="1"/>
  <c r="I14" i="1"/>
  <c r="U13" i="1"/>
  <c r="I13" i="1"/>
  <c r="U12" i="1"/>
  <c r="I12" i="1"/>
  <c r="U11" i="1"/>
  <c r="I11" i="1"/>
  <c r="U10" i="1"/>
  <c r="I10" i="1"/>
  <c r="U9" i="1"/>
  <c r="I9" i="1"/>
</calcChain>
</file>

<file path=xl/sharedStrings.xml><?xml version="1.0" encoding="utf-8"?>
<sst xmlns="http://schemas.openxmlformats.org/spreadsheetml/2006/main" count="91" uniqueCount="55">
  <si>
    <t>Proposal of cyclic timetable for the Guingamp-Paimpol line</t>
  </si>
  <si>
    <t>Rémy Chevrier, SNCF - remy.chevrier@sncf.fr</t>
  </si>
  <si>
    <t>Express 1</t>
  </si>
  <si>
    <t>Express 2</t>
  </si>
  <si>
    <t>All stops 1</t>
  </si>
  <si>
    <t>All stops 2</t>
  </si>
  <si>
    <t>Express 3</t>
  </si>
  <si>
    <t>Express 4</t>
  </si>
  <si>
    <t>All stops 3</t>
  </si>
  <si>
    <t>All stops 4</t>
  </si>
  <si>
    <t>A</t>
  </si>
  <si>
    <t>D</t>
  </si>
  <si>
    <t>DW</t>
  </si>
  <si>
    <t xml:space="preserve">A </t>
  </si>
  <si>
    <t>Guingamp</t>
  </si>
  <si>
    <t>Gourland</t>
  </si>
  <si>
    <t>Trégonneau</t>
  </si>
  <si>
    <t>Brélidy</t>
  </si>
  <si>
    <t>Pontrieux Halte</t>
  </si>
  <si>
    <t xml:space="preserve">Pontrieux </t>
  </si>
  <si>
    <t>Frynaudour</t>
  </si>
  <si>
    <t>Traou-Nez</t>
  </si>
  <si>
    <t>Lancerf</t>
  </si>
  <si>
    <t>Paimpol</t>
  </si>
  <si>
    <t>N.B. For the 'all stops' patterns, the running times are slackened.</t>
  </si>
  <si>
    <t>RT * 1.1 from Pontrieux to Paimpol</t>
  </si>
  <si>
    <t>RT * 1.2 from Paimpol to Pontrieux</t>
  </si>
  <si>
    <t>A/D : Arrival/Departure time</t>
  </si>
  <si>
    <t>DW: Dwell time</t>
  </si>
  <si>
    <t>Two-track stations and siding ways</t>
  </si>
  <si>
    <t>Guingamp, Trégonneau, Pontrieux, Lancerf and Paimpol are double-track stations, where cross, meeting and overtaking are possible.</t>
  </si>
  <si>
    <t>Stopping patterns :</t>
  </si>
  <si>
    <t>Express 1, 3, … : Guingamp-&gt;Pontrieux, Stop 1 minute in Pontrieux, Pontrieux-&gt;Paimpol</t>
  </si>
  <si>
    <t>Express 2, 4, … : Paimpol -&gt; Pontrieux, Stop 1 minute in Pontrieux, Pontrieux-&gt;Guingamp</t>
  </si>
  <si>
    <t>All stops 1, 3, … : Guingamp-&gt;Paimpol, stop 2 minutes in Trégonneau, Pontrieux and Lancerf, 30 seconds in the others</t>
  </si>
  <si>
    <t>All stops 2, 4, … : Paimpol-&gt;Guingamp, stop 2 minutes in Trégonneau, Lancerf, 1,5 minute in Pontrieux, 30 seconds in the others</t>
  </si>
  <si>
    <t>Delay distribution for departures from Guingamp and from Paimpol</t>
  </si>
  <si>
    <t>From Guingamp</t>
  </si>
  <si>
    <t>seconds</t>
  </si>
  <si>
    <t>0-15</t>
  </si>
  <si>
    <t>16-30</t>
  </si>
  <si>
    <t>31-45</t>
  </si>
  <si>
    <t>46-60</t>
  </si>
  <si>
    <t>61-75</t>
  </si>
  <si>
    <t>76-90</t>
  </si>
  <si>
    <t>91-105</t>
  </si>
  <si>
    <t>106-120</t>
  </si>
  <si>
    <t>121-135</t>
  </si>
  <si>
    <t>136-150</t>
  </si>
  <si>
    <t>151-165</t>
  </si>
  <si>
    <t>166-180</t>
  </si>
  <si>
    <t>&gt;180</t>
  </si>
  <si>
    <t>probability (small delays)</t>
  </si>
  <si>
    <t>probability (large delays)</t>
  </si>
  <si>
    <t>From Paimpol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</si>
</sst>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7" x14ac:knownFonts="1">
    <font>
      <sz val="11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20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AE3F3"/>
        <bgColor rgb="FFD9D9D9"/>
      </patternFill>
    </fill>
    <fill>
      <patternFill patternType="solid">
        <fgColor rgb="FFFFF2CC"/>
        <bgColor rgb="FFFFE699"/>
      </patternFill>
    </fill>
    <fill>
      <patternFill patternType="solid">
        <fgColor rgb="FFB4C7E7"/>
        <bgColor rgb="FF99CCFF"/>
      </patternFill>
    </fill>
    <fill>
      <patternFill patternType="solid">
        <fgColor rgb="FFFFE699"/>
        <bgColor rgb="FFFFF2CC"/>
      </patternFill>
    </fill>
    <fill>
      <patternFill patternType="solid">
        <fgColor rgb="FF70AD47"/>
        <bgColor rgb="FF339966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5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5" fillId="3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5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/>
    <xf numFmtId="0" fontId="0" fillId="0" borderId="1" xfId="0" applyBorder="1"/>
    <xf numFmtId="0" fontId="0" fillId="0" borderId="4" xfId="0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6" borderId="4" xfId="0" applyFill="1" applyBorder="1"/>
    <xf numFmtId="164" fontId="0" fillId="2" borderId="4" xfId="0" applyNumberFormat="1" applyFill="1" applyBorder="1"/>
    <xf numFmtId="164" fontId="0" fillId="2" borderId="9" xfId="0" applyNumberFormat="1" applyFill="1" applyBorder="1"/>
    <xf numFmtId="164" fontId="0" fillId="2" borderId="10" xfId="0" applyNumberFormat="1" applyFill="1" applyBorder="1"/>
    <xf numFmtId="164" fontId="0" fillId="3" borderId="4" xfId="0" applyNumberFormat="1" applyFill="1" applyBorder="1"/>
    <xf numFmtId="164" fontId="0" fillId="3" borderId="9" xfId="0" applyNumberFormat="1" applyFill="1" applyBorder="1"/>
    <xf numFmtId="164" fontId="0" fillId="3" borderId="10" xfId="0" applyNumberFormat="1" applyFill="1" applyBorder="1"/>
    <xf numFmtId="164" fontId="0" fillId="4" borderId="4" xfId="0" applyNumberFormat="1" applyFill="1" applyBorder="1"/>
    <xf numFmtId="164" fontId="0" fillId="4" borderId="9" xfId="0" applyNumberFormat="1" applyFill="1" applyBorder="1"/>
    <xf numFmtId="164" fontId="0" fillId="4" borderId="10" xfId="0" applyNumberFormat="1" applyFill="1" applyBorder="1"/>
    <xf numFmtId="164" fontId="0" fillId="5" borderId="4" xfId="0" applyNumberFormat="1" applyFill="1" applyBorder="1"/>
    <xf numFmtId="164" fontId="0" fillId="5" borderId="9" xfId="0" applyNumberFormat="1" applyFill="1" applyBorder="1"/>
    <xf numFmtId="164" fontId="0" fillId="5" borderId="10" xfId="0" applyNumberFormat="1" applyFill="1" applyBorder="1"/>
    <xf numFmtId="164" fontId="0" fillId="5" borderId="0" xfId="0" applyNumberFormat="1" applyFill="1"/>
    <xf numFmtId="0" fontId="0" fillId="6" borderId="11" xfId="0" applyFill="1" applyBorder="1"/>
    <xf numFmtId="164" fontId="0" fillId="2" borderId="11" xfId="0" applyNumberFormat="1" applyFill="1" applyBorder="1"/>
    <xf numFmtId="164" fontId="0" fillId="2" borderId="12" xfId="0" applyNumberFormat="1" applyFill="1" applyBorder="1"/>
    <xf numFmtId="164" fontId="0" fillId="2" borderId="13" xfId="0" applyNumberFormat="1" applyFill="1" applyBorder="1"/>
    <xf numFmtId="164" fontId="0" fillId="3" borderId="11" xfId="0" applyNumberFormat="1" applyFill="1" applyBorder="1"/>
    <xf numFmtId="164" fontId="0" fillId="3" borderId="12" xfId="0" applyNumberFormat="1" applyFill="1" applyBorder="1"/>
    <xf numFmtId="164" fontId="0" fillId="3" borderId="13" xfId="0" applyNumberFormat="1" applyFill="1" applyBorder="1"/>
    <xf numFmtId="164" fontId="0" fillId="4" borderId="11" xfId="0" applyNumberFormat="1" applyFill="1" applyBorder="1"/>
    <xf numFmtId="164" fontId="0" fillId="4" borderId="12" xfId="0" applyNumberFormat="1" applyFill="1" applyBorder="1"/>
    <xf numFmtId="164" fontId="0" fillId="4" borderId="13" xfId="0" applyNumberFormat="1" applyFill="1" applyBorder="1"/>
    <xf numFmtId="164" fontId="0" fillId="5" borderId="11" xfId="0" applyNumberFormat="1" applyFill="1" applyBorder="1"/>
    <xf numFmtId="164" fontId="0" fillId="5" borderId="12" xfId="0" applyNumberFormat="1" applyFill="1" applyBorder="1"/>
    <xf numFmtId="164" fontId="0" fillId="5" borderId="13" xfId="0" applyNumberFormat="1" applyFill="1" applyBorder="1"/>
    <xf numFmtId="164" fontId="0" fillId="5" borderId="14" xfId="0" applyNumberFormat="1" applyFill="1" applyBorder="1"/>
    <xf numFmtId="0" fontId="3" fillId="0" borderId="0" xfId="0" applyFont="1"/>
    <xf numFmtId="0" fontId="4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fr-FR" sz="12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fr-FR" sz="1200" b="0" strike="noStrike" spc="-1">
                <a:solidFill>
                  <a:srgbClr val="595959"/>
                </a:solidFill>
                <a:latin typeface="Calibri"/>
              </a:rPr>
              <a:t>Distribution des retards au départ de Guingamp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nl-N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departures!$B$6:$N$6</c:f>
              <c:strCache>
                <c:ptCount val="13"/>
                <c:pt idx="0">
                  <c:v>0-15</c:v>
                </c:pt>
                <c:pt idx="1">
                  <c:v>16-30</c:v>
                </c:pt>
                <c:pt idx="2">
                  <c:v>31-45</c:v>
                </c:pt>
                <c:pt idx="3">
                  <c:v>46-60</c:v>
                </c:pt>
                <c:pt idx="4">
                  <c:v>61-75</c:v>
                </c:pt>
                <c:pt idx="5">
                  <c:v>76-90</c:v>
                </c:pt>
                <c:pt idx="6">
                  <c:v>91-105</c:v>
                </c:pt>
                <c:pt idx="7">
                  <c:v>106-120</c:v>
                </c:pt>
                <c:pt idx="8">
                  <c:v>121-135</c:v>
                </c:pt>
                <c:pt idx="9">
                  <c:v>136-150</c:v>
                </c:pt>
                <c:pt idx="10">
                  <c:v>151-165</c:v>
                </c:pt>
                <c:pt idx="11">
                  <c:v>166-180</c:v>
                </c:pt>
                <c:pt idx="12">
                  <c:v>&gt;180</c:v>
                </c:pt>
              </c:strCache>
            </c:strRef>
          </c:cat>
          <c:val>
            <c:numRef>
              <c:f>departures!$B$7:$N$7</c:f>
              <c:numCache>
                <c:formatCode>General</c:formatCode>
                <c:ptCount val="13"/>
                <c:pt idx="0">
                  <c:v>0.1</c:v>
                </c:pt>
                <c:pt idx="1">
                  <c:v>0.3</c:v>
                </c:pt>
                <c:pt idx="2">
                  <c:v>0.3</c:v>
                </c:pt>
                <c:pt idx="3">
                  <c:v>0.1</c:v>
                </c:pt>
                <c:pt idx="4">
                  <c:v>0.05</c:v>
                </c:pt>
                <c:pt idx="5">
                  <c:v>0.04</c:v>
                </c:pt>
                <c:pt idx="6">
                  <c:v>2.5000000000000001E-2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1.4E-2</c:v>
                </c:pt>
                <c:pt idx="11">
                  <c:v>1.4E-2</c:v>
                </c:pt>
                <c:pt idx="12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8-4C58-94EF-7A7A10FD80B8}"/>
            </c:ext>
          </c:extLst>
        </c:ser>
        <c:ser>
          <c:idx val="1"/>
          <c:order val="1"/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nl-N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departures!$B$6:$N$6</c:f>
              <c:strCache>
                <c:ptCount val="13"/>
                <c:pt idx="0">
                  <c:v>0-15</c:v>
                </c:pt>
                <c:pt idx="1">
                  <c:v>16-30</c:v>
                </c:pt>
                <c:pt idx="2">
                  <c:v>31-45</c:v>
                </c:pt>
                <c:pt idx="3">
                  <c:v>46-60</c:v>
                </c:pt>
                <c:pt idx="4">
                  <c:v>61-75</c:v>
                </c:pt>
                <c:pt idx="5">
                  <c:v>76-90</c:v>
                </c:pt>
                <c:pt idx="6">
                  <c:v>91-105</c:v>
                </c:pt>
                <c:pt idx="7">
                  <c:v>106-120</c:v>
                </c:pt>
                <c:pt idx="8">
                  <c:v>121-135</c:v>
                </c:pt>
                <c:pt idx="9">
                  <c:v>136-150</c:v>
                </c:pt>
                <c:pt idx="10">
                  <c:v>151-165</c:v>
                </c:pt>
                <c:pt idx="11">
                  <c:v>166-180</c:v>
                </c:pt>
                <c:pt idx="12">
                  <c:v>&gt;180</c:v>
                </c:pt>
              </c:strCache>
            </c:strRef>
          </c:cat>
          <c:val>
            <c:numRef>
              <c:f>departures!$B$8:$N$8</c:f>
              <c:numCache>
                <c:formatCode>General</c:formatCode>
                <c:ptCount val="1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0.18</c:v>
                </c:pt>
                <c:pt idx="4">
                  <c:v>0.15</c:v>
                </c:pt>
                <c:pt idx="5">
                  <c:v>0.1</c:v>
                </c:pt>
                <c:pt idx="6">
                  <c:v>0.05</c:v>
                </c:pt>
                <c:pt idx="7">
                  <c:v>0.02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F8-4C58-94EF-7A7A10FD8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74048"/>
        <c:axId val="27522721"/>
      </c:barChart>
      <c:catAx>
        <c:axId val="114740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nl-NL"/>
          </a:p>
        </c:txPr>
        <c:crossAx val="27522721"/>
        <c:crosses val="autoZero"/>
        <c:auto val="1"/>
        <c:lblAlgn val="ctr"/>
        <c:lblOffset val="100"/>
        <c:noMultiLvlLbl val="0"/>
      </c:catAx>
      <c:valAx>
        <c:axId val="2752272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nl-NL"/>
          </a:p>
        </c:txPr>
        <c:crossAx val="114740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nl-N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fr-FR" sz="12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fr-FR" sz="1200" b="0" strike="noStrike" spc="-1">
                <a:solidFill>
                  <a:srgbClr val="595959"/>
                </a:solidFill>
                <a:latin typeface="Calibri"/>
              </a:rPr>
              <a:t>Distribution des retards au départ de Paimpol</a:t>
            </a:r>
          </a:p>
        </c:rich>
      </c:tx>
      <c:layout>
        <c:manualLayout>
          <c:xMode val="edge"/>
          <c:yMode val="edge"/>
          <c:x val="0.15918497293855499"/>
          <c:y val="2.7397260273972601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departures!$A$26:$A$26</c:f>
              <c:strCache>
                <c:ptCount val="1"/>
                <c:pt idx="0">
                  <c:v>probability (small delays)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nl-N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departures!$B$25:$N$25</c:f>
              <c:strCache>
                <c:ptCount val="13"/>
                <c:pt idx="0">
                  <c:v>0-15</c:v>
                </c:pt>
                <c:pt idx="1">
                  <c:v>16-30</c:v>
                </c:pt>
                <c:pt idx="2">
                  <c:v>31-45</c:v>
                </c:pt>
                <c:pt idx="3">
                  <c:v>46-60</c:v>
                </c:pt>
                <c:pt idx="4">
                  <c:v>61-75</c:v>
                </c:pt>
                <c:pt idx="5">
                  <c:v>76-90</c:v>
                </c:pt>
                <c:pt idx="6">
                  <c:v>91-105</c:v>
                </c:pt>
                <c:pt idx="7">
                  <c:v>106-120</c:v>
                </c:pt>
                <c:pt idx="8">
                  <c:v>121-135</c:v>
                </c:pt>
                <c:pt idx="9">
                  <c:v>136-150</c:v>
                </c:pt>
                <c:pt idx="10">
                  <c:v>151-165</c:v>
                </c:pt>
                <c:pt idx="11">
                  <c:v>166-180</c:v>
                </c:pt>
                <c:pt idx="12">
                  <c:v>&gt;180</c:v>
                </c:pt>
              </c:strCache>
            </c:strRef>
          </c:cat>
          <c:val>
            <c:numRef>
              <c:f>departures!$B$26:$N$26</c:f>
              <c:numCache>
                <c:formatCode>General</c:formatCode>
                <c:ptCount val="13"/>
                <c:pt idx="0">
                  <c:v>0.3</c:v>
                </c:pt>
                <c:pt idx="1">
                  <c:v>0.25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  <c:pt idx="5">
                  <c:v>0.04</c:v>
                </c:pt>
                <c:pt idx="6">
                  <c:v>2.5000000000000001E-2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1.4E-2</c:v>
                </c:pt>
                <c:pt idx="11">
                  <c:v>1.4E-2</c:v>
                </c:pt>
                <c:pt idx="12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B5-45C2-B41A-244342D96463}"/>
            </c:ext>
          </c:extLst>
        </c:ser>
        <c:ser>
          <c:idx val="1"/>
          <c:order val="1"/>
          <c:tx>
            <c:strRef>
              <c:f>departures!$A$27:$A$27</c:f>
              <c:strCache>
                <c:ptCount val="1"/>
                <c:pt idx="0">
                  <c:v>probability (large delays)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nl-N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departures!$B$25:$N$25</c:f>
              <c:strCache>
                <c:ptCount val="13"/>
                <c:pt idx="0">
                  <c:v>0-15</c:v>
                </c:pt>
                <c:pt idx="1">
                  <c:v>16-30</c:v>
                </c:pt>
                <c:pt idx="2">
                  <c:v>31-45</c:v>
                </c:pt>
                <c:pt idx="3">
                  <c:v>46-60</c:v>
                </c:pt>
                <c:pt idx="4">
                  <c:v>61-75</c:v>
                </c:pt>
                <c:pt idx="5">
                  <c:v>76-90</c:v>
                </c:pt>
                <c:pt idx="6">
                  <c:v>91-105</c:v>
                </c:pt>
                <c:pt idx="7">
                  <c:v>106-120</c:v>
                </c:pt>
                <c:pt idx="8">
                  <c:v>121-135</c:v>
                </c:pt>
                <c:pt idx="9">
                  <c:v>136-150</c:v>
                </c:pt>
                <c:pt idx="10">
                  <c:v>151-165</c:v>
                </c:pt>
                <c:pt idx="11">
                  <c:v>166-180</c:v>
                </c:pt>
                <c:pt idx="12">
                  <c:v>&gt;180</c:v>
                </c:pt>
              </c:strCache>
            </c:strRef>
          </c:cat>
          <c:val>
            <c:numRef>
              <c:f>departures!$B$27:$N$27</c:f>
              <c:numCache>
                <c:formatCode>General</c:formatCode>
                <c:ptCount val="13"/>
                <c:pt idx="0">
                  <c:v>0.1</c:v>
                </c:pt>
                <c:pt idx="1">
                  <c:v>0.3</c:v>
                </c:pt>
                <c:pt idx="2">
                  <c:v>0.3</c:v>
                </c:pt>
                <c:pt idx="3">
                  <c:v>0.08</c:v>
                </c:pt>
                <c:pt idx="4">
                  <c:v>0.08</c:v>
                </c:pt>
                <c:pt idx="5">
                  <c:v>0.04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B5-45C2-B41A-244342D96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55285"/>
        <c:axId val="31906053"/>
      </c:barChart>
      <c:catAx>
        <c:axId val="444552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nl-NL"/>
          </a:p>
        </c:txPr>
        <c:crossAx val="31906053"/>
        <c:crosses val="autoZero"/>
        <c:auto val="1"/>
        <c:lblAlgn val="ctr"/>
        <c:lblOffset val="100"/>
        <c:noMultiLvlLbl val="0"/>
      </c:catAx>
      <c:valAx>
        <c:axId val="3190605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nl-NL"/>
          </a:p>
        </c:txPr>
        <c:crossAx val="444552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nl-N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181080</xdr:colOff>
      <xdr:row>8</xdr:row>
      <xdr:rowOff>61920</xdr:rowOff>
    </xdr:from>
    <xdr:to>
      <xdr:col>14</xdr:col>
      <xdr:colOff>294840</xdr:colOff>
      <xdr:row>22</xdr:row>
      <xdr:rowOff>46800</xdr:rowOff>
    </xdr:to>
    <xdr:graphicFrame macro="">
      <xdr:nvGraphicFramePr>
        <xdr:cNvPr id="2" name="Graphiqu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181080</xdr:colOff>
      <xdr:row>28</xdr:row>
      <xdr:rowOff>109440</xdr:rowOff>
    </xdr:from>
    <xdr:to>
      <xdr:col>14</xdr:col>
      <xdr:colOff>285120</xdr:colOff>
      <xdr:row>43</xdr:row>
      <xdr:rowOff>37440</xdr:rowOff>
    </xdr:to>
    <xdr:graphicFrame macro="">
      <xdr:nvGraphicFramePr>
        <xdr:cNvPr id="3" name="Graphiqu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zoomScaleNormal="100" workbookViewId="0">
      <selection activeCell="A11" sqref="A11"/>
    </sheetView>
  </sheetViews>
  <sheetFormatPr defaultColWidth="10.6328125" defaultRowHeight="14.5" x14ac:dyDescent="0.35"/>
  <cols>
    <col min="2" max="25" width="7.1796875" customWidth="1"/>
  </cols>
  <sheetData>
    <row r="1" spans="1:25" ht="21" x14ac:dyDescent="0.5">
      <c r="A1" s="12" t="s">
        <v>0</v>
      </c>
      <c r="B1" s="12"/>
      <c r="C1" s="12"/>
      <c r="D1" s="12"/>
      <c r="E1" s="12"/>
      <c r="F1" s="12"/>
      <c r="G1" s="12"/>
      <c r="H1" s="12"/>
    </row>
    <row r="2" spans="1:25" x14ac:dyDescent="0.35">
      <c r="A2" s="11" t="s">
        <v>1</v>
      </c>
      <c r="B2" s="11"/>
      <c r="C2" s="11"/>
      <c r="D2" s="11"/>
      <c r="E2" s="11"/>
      <c r="F2" s="11"/>
      <c r="G2" s="11"/>
    </row>
    <row r="4" spans="1:25" ht="15" customHeight="1" x14ac:dyDescent="0.35">
      <c r="A4" s="13"/>
      <c r="B4" s="10" t="s">
        <v>2</v>
      </c>
      <c r="C4" s="10"/>
      <c r="D4" s="10"/>
      <c r="E4" s="9" t="s">
        <v>3</v>
      </c>
      <c r="F4" s="9"/>
      <c r="G4" s="9"/>
      <c r="H4" s="8" t="s">
        <v>4</v>
      </c>
      <c r="I4" s="8"/>
      <c r="J4" s="8"/>
      <c r="K4" s="7" t="s">
        <v>5</v>
      </c>
      <c r="L4" s="7"/>
      <c r="M4" s="7"/>
      <c r="N4" s="10" t="s">
        <v>6</v>
      </c>
      <c r="O4" s="10"/>
      <c r="P4" s="10"/>
      <c r="Q4" s="9" t="s">
        <v>7</v>
      </c>
      <c r="R4" s="9"/>
      <c r="S4" s="9"/>
      <c r="T4" s="8" t="s">
        <v>8</v>
      </c>
      <c r="U4" s="8"/>
      <c r="V4" s="8"/>
      <c r="W4" s="6" t="s">
        <v>9</v>
      </c>
      <c r="X4" s="6"/>
      <c r="Y4" s="6"/>
    </row>
    <row r="5" spans="1:25" x14ac:dyDescent="0.35">
      <c r="A5" s="14"/>
      <c r="B5" s="15" t="s">
        <v>10</v>
      </c>
      <c r="C5" s="16" t="s">
        <v>11</v>
      </c>
      <c r="D5" s="17" t="s">
        <v>12</v>
      </c>
      <c r="E5" s="18" t="s">
        <v>10</v>
      </c>
      <c r="F5" s="19" t="s">
        <v>11</v>
      </c>
      <c r="G5" s="20" t="s">
        <v>12</v>
      </c>
      <c r="H5" s="21" t="s">
        <v>13</v>
      </c>
      <c r="I5" s="22" t="s">
        <v>11</v>
      </c>
      <c r="J5" s="23" t="s">
        <v>12</v>
      </c>
      <c r="K5" s="24" t="s">
        <v>13</v>
      </c>
      <c r="L5" s="25" t="s">
        <v>11</v>
      </c>
      <c r="M5" s="26" t="s">
        <v>12</v>
      </c>
      <c r="N5" s="15" t="s">
        <v>10</v>
      </c>
      <c r="O5" s="16" t="s">
        <v>11</v>
      </c>
      <c r="P5" s="17" t="s">
        <v>12</v>
      </c>
      <c r="Q5" s="18" t="s">
        <v>10</v>
      </c>
      <c r="R5" s="19" t="s">
        <v>11</v>
      </c>
      <c r="S5" s="20" t="s">
        <v>12</v>
      </c>
      <c r="T5" s="21" t="s">
        <v>13</v>
      </c>
      <c r="U5" s="22" t="s">
        <v>11</v>
      </c>
      <c r="V5" s="23" t="s">
        <v>12</v>
      </c>
      <c r="W5" s="27" t="s">
        <v>13</v>
      </c>
      <c r="X5" s="25" t="s">
        <v>11</v>
      </c>
      <c r="Y5" s="26" t="s">
        <v>12</v>
      </c>
    </row>
    <row r="6" spans="1:25" x14ac:dyDescent="0.35">
      <c r="A6" s="28" t="s">
        <v>14</v>
      </c>
      <c r="B6" s="29"/>
      <c r="C6" s="30">
        <v>0.27083333333333298</v>
      </c>
      <c r="D6" s="31">
        <v>0</v>
      </c>
      <c r="E6" s="32">
        <v>0.30552083333333302</v>
      </c>
      <c r="F6" s="33"/>
      <c r="G6" s="34">
        <v>0</v>
      </c>
      <c r="H6" s="35"/>
      <c r="I6" s="36">
        <v>0.288715277777778</v>
      </c>
      <c r="J6" s="37">
        <v>0</v>
      </c>
      <c r="K6" s="38">
        <v>0.32893749999999999</v>
      </c>
      <c r="L6" s="39"/>
      <c r="M6" s="40">
        <v>0</v>
      </c>
      <c r="N6" s="29"/>
      <c r="O6" s="30">
        <v>0.3125</v>
      </c>
      <c r="P6" s="31">
        <v>0</v>
      </c>
      <c r="Q6" s="32">
        <v>0.34718749999999998</v>
      </c>
      <c r="R6" s="33"/>
      <c r="S6" s="34">
        <v>0</v>
      </c>
      <c r="T6" s="35"/>
      <c r="U6" s="36">
        <v>0.33038194444444402</v>
      </c>
      <c r="V6" s="37">
        <v>0</v>
      </c>
      <c r="W6" s="41">
        <v>0.37060416666666701</v>
      </c>
      <c r="X6" s="39"/>
      <c r="Y6" s="40">
        <v>0</v>
      </c>
    </row>
    <row r="7" spans="1:25" x14ac:dyDescent="0.35">
      <c r="A7" s="14" t="s">
        <v>15</v>
      </c>
      <c r="B7" s="29">
        <v>0.27254629629629601</v>
      </c>
      <c r="C7" s="30"/>
      <c r="D7" s="31">
        <v>0</v>
      </c>
      <c r="E7" s="32">
        <v>0.30380787037036999</v>
      </c>
      <c r="F7" s="33"/>
      <c r="G7" s="34">
        <v>0</v>
      </c>
      <c r="H7" s="35">
        <v>0.29077546296296303</v>
      </c>
      <c r="I7" s="36">
        <v>0.29112268518518503</v>
      </c>
      <c r="J7" s="37">
        <v>3.4722222222222202E-4</v>
      </c>
      <c r="K7" s="38">
        <v>0.32687731481481502</v>
      </c>
      <c r="L7" s="39">
        <v>0.32722453703703702</v>
      </c>
      <c r="M7" s="40">
        <v>3.4722222222222202E-4</v>
      </c>
      <c r="N7" s="29">
        <v>0.31421296296296303</v>
      </c>
      <c r="O7" s="30"/>
      <c r="P7" s="31">
        <v>0</v>
      </c>
      <c r="Q7" s="32">
        <v>0.34547453703703701</v>
      </c>
      <c r="R7" s="33"/>
      <c r="S7" s="34">
        <v>0</v>
      </c>
      <c r="T7" s="35">
        <v>0.33244212962962999</v>
      </c>
      <c r="U7" s="36">
        <v>0.33278935185185199</v>
      </c>
      <c r="V7" s="37">
        <v>3.4722222222222202E-4</v>
      </c>
      <c r="W7" s="41">
        <v>0.36854398148148199</v>
      </c>
      <c r="X7" s="39">
        <v>0.36889120370370398</v>
      </c>
      <c r="Y7" s="40">
        <v>3.4722222222222202E-4</v>
      </c>
    </row>
    <row r="8" spans="1:25" x14ac:dyDescent="0.35">
      <c r="A8" s="28" t="s">
        <v>16</v>
      </c>
      <c r="B8" s="29">
        <v>0.27829861111111098</v>
      </c>
      <c r="C8" s="30"/>
      <c r="D8" s="31">
        <v>0</v>
      </c>
      <c r="E8" s="32">
        <v>0.29805555555555602</v>
      </c>
      <c r="F8" s="33"/>
      <c r="G8" s="34">
        <v>0</v>
      </c>
      <c r="H8" s="35">
        <v>0.296875</v>
      </c>
      <c r="I8" s="36">
        <v>0.29861111111111099</v>
      </c>
      <c r="J8" s="37">
        <v>1.38888888888889E-3</v>
      </c>
      <c r="K8" s="38">
        <v>0.319736111111111</v>
      </c>
      <c r="L8" s="39">
        <v>0.32112499999999999</v>
      </c>
      <c r="M8" s="40">
        <v>1.38888888888889E-3</v>
      </c>
      <c r="N8" s="29">
        <v>0.319965277777778</v>
      </c>
      <c r="O8" s="30"/>
      <c r="P8" s="31">
        <v>0</v>
      </c>
      <c r="Q8" s="32">
        <v>0.33972222222222198</v>
      </c>
      <c r="R8" s="33"/>
      <c r="S8" s="34">
        <v>0</v>
      </c>
      <c r="T8" s="35">
        <v>0.33854166666666702</v>
      </c>
      <c r="U8" s="36">
        <v>0.34027777777777801</v>
      </c>
      <c r="V8" s="37">
        <v>1.38888888888889E-3</v>
      </c>
      <c r="W8" s="41">
        <v>0.36140277777777802</v>
      </c>
      <c r="X8" s="39">
        <v>0.36279166666666701</v>
      </c>
      <c r="Y8" s="40">
        <v>1.38888888888889E-3</v>
      </c>
    </row>
    <row r="9" spans="1:25" x14ac:dyDescent="0.35">
      <c r="A9" s="14" t="s">
        <v>17</v>
      </c>
      <c r="B9" s="29">
        <v>0.28236111111111101</v>
      </c>
      <c r="C9" s="30"/>
      <c r="D9" s="31">
        <v>0</v>
      </c>
      <c r="E9" s="32">
        <v>0.29399305555555599</v>
      </c>
      <c r="F9" s="33"/>
      <c r="G9" s="34">
        <v>0</v>
      </c>
      <c r="H9" s="35">
        <v>0.30267361111111102</v>
      </c>
      <c r="I9" s="36">
        <f t="shared" ref="I9:I14" si="0">H9+J9</f>
        <v>0.30302083333333324</v>
      </c>
      <c r="J9" s="37">
        <v>3.4722222222222202E-4</v>
      </c>
      <c r="K9" s="38">
        <v>0.31532638888888898</v>
      </c>
      <c r="L9" s="39">
        <v>0.31567361111111097</v>
      </c>
      <c r="M9" s="40">
        <v>3.4722222222222202E-4</v>
      </c>
      <c r="N9" s="29">
        <v>0.32402777777777803</v>
      </c>
      <c r="O9" s="30"/>
      <c r="P9" s="31">
        <v>0</v>
      </c>
      <c r="Q9" s="32">
        <v>0.33565972222222201</v>
      </c>
      <c r="R9" s="33"/>
      <c r="S9" s="34">
        <v>0</v>
      </c>
      <c r="T9" s="35">
        <v>0.34434027777777798</v>
      </c>
      <c r="U9" s="36">
        <f t="shared" ref="U9:U14" si="1">T9+V9</f>
        <v>0.3446875000000002</v>
      </c>
      <c r="V9" s="37">
        <v>3.4722222222222202E-4</v>
      </c>
      <c r="W9" s="41">
        <v>0.35699305555555599</v>
      </c>
      <c r="X9" s="39">
        <v>0.35734027777777799</v>
      </c>
      <c r="Y9" s="40">
        <v>3.4722222222222202E-4</v>
      </c>
    </row>
    <row r="10" spans="1:25" x14ac:dyDescent="0.35">
      <c r="A10" s="14" t="s">
        <v>18</v>
      </c>
      <c r="B10" s="29">
        <v>0.28677083333333298</v>
      </c>
      <c r="C10" s="30"/>
      <c r="D10" s="31">
        <v>0</v>
      </c>
      <c r="E10" s="32">
        <v>0.28958333333333303</v>
      </c>
      <c r="F10" s="33"/>
      <c r="G10" s="34">
        <v>0</v>
      </c>
      <c r="H10" s="35">
        <v>0.30743055555555598</v>
      </c>
      <c r="I10" s="36">
        <f t="shared" si="0"/>
        <v>0.30777777777777821</v>
      </c>
      <c r="J10" s="37">
        <v>3.4722222222222202E-4</v>
      </c>
      <c r="K10" s="38">
        <v>0.31056944444444401</v>
      </c>
      <c r="L10" s="39">
        <v>0.31091666666666701</v>
      </c>
      <c r="M10" s="40">
        <v>3.4722222222222202E-4</v>
      </c>
      <c r="N10" s="29">
        <v>0.32843749999999999</v>
      </c>
      <c r="O10" s="30"/>
      <c r="P10" s="31">
        <v>0</v>
      </c>
      <c r="Q10" s="32">
        <v>0.33124999999999999</v>
      </c>
      <c r="R10" s="33"/>
      <c r="S10" s="34">
        <v>0</v>
      </c>
      <c r="T10" s="35">
        <v>0.349097222222222</v>
      </c>
      <c r="U10" s="36">
        <f t="shared" si="1"/>
        <v>0.34944444444444422</v>
      </c>
      <c r="V10" s="37">
        <v>3.4722222222222202E-4</v>
      </c>
      <c r="W10" s="41">
        <v>0.35223611111111103</v>
      </c>
      <c r="X10" s="39">
        <v>0.35258333333333303</v>
      </c>
      <c r="Y10" s="40">
        <v>3.4722222222222202E-4</v>
      </c>
    </row>
    <row r="11" spans="1:25" x14ac:dyDescent="0.35">
      <c r="A11" s="28" t="s">
        <v>19</v>
      </c>
      <c r="B11" s="29">
        <v>0.28781250000000003</v>
      </c>
      <c r="C11" s="30">
        <v>0.28850694444444402</v>
      </c>
      <c r="D11" s="31">
        <v>6.9444444444444501E-4</v>
      </c>
      <c r="E11" s="32">
        <v>0.28784722222222198</v>
      </c>
      <c r="F11" s="33">
        <v>0.28854166666666697</v>
      </c>
      <c r="G11" s="34">
        <v>6.9444444444444501E-4</v>
      </c>
      <c r="H11" s="35">
        <v>0.308923611111111</v>
      </c>
      <c r="I11" s="36">
        <f t="shared" si="0"/>
        <v>0.31031249999999988</v>
      </c>
      <c r="J11" s="37">
        <v>1.38888888888889E-3</v>
      </c>
      <c r="K11" s="38">
        <v>0.30848611111111102</v>
      </c>
      <c r="L11" s="39">
        <v>0.30952777777777801</v>
      </c>
      <c r="M11" s="40">
        <v>1.0416666666666699E-3</v>
      </c>
      <c r="N11" s="29">
        <v>0.32947916666666699</v>
      </c>
      <c r="O11" s="30">
        <v>0.33017361111111099</v>
      </c>
      <c r="P11" s="31">
        <v>6.9444444444444501E-4</v>
      </c>
      <c r="Q11" s="32">
        <v>0.32951388888888899</v>
      </c>
      <c r="R11" s="33">
        <v>0.33020833333333299</v>
      </c>
      <c r="S11" s="34">
        <v>6.9444444444444501E-4</v>
      </c>
      <c r="T11" s="35">
        <v>0.35059027777777801</v>
      </c>
      <c r="U11" s="36">
        <f t="shared" si="1"/>
        <v>0.3519791666666669</v>
      </c>
      <c r="V11" s="37">
        <v>1.38888888888889E-3</v>
      </c>
      <c r="W11" s="41">
        <v>0.35015277777777798</v>
      </c>
      <c r="X11" s="39">
        <v>0.35119444444444498</v>
      </c>
      <c r="Y11" s="40">
        <v>1.0416666666666699E-3</v>
      </c>
    </row>
    <row r="12" spans="1:25" x14ac:dyDescent="0.35">
      <c r="A12" s="14" t="s">
        <v>20</v>
      </c>
      <c r="B12" s="29">
        <v>0.29212962962963002</v>
      </c>
      <c r="C12" s="30"/>
      <c r="D12" s="31">
        <v>0</v>
      </c>
      <c r="E12" s="32">
        <v>0.28422453703703698</v>
      </c>
      <c r="F12" s="33"/>
      <c r="G12" s="34">
        <v>0</v>
      </c>
      <c r="H12" s="35">
        <v>0.31429745370370399</v>
      </c>
      <c r="I12" s="36">
        <f t="shared" si="0"/>
        <v>0.31464467592592621</v>
      </c>
      <c r="J12" s="37">
        <v>3.4722222222222202E-4</v>
      </c>
      <c r="K12" s="38">
        <v>0.30379166666666702</v>
      </c>
      <c r="L12" s="39">
        <v>0.30413888888888901</v>
      </c>
      <c r="M12" s="40">
        <v>3.4722222222222202E-4</v>
      </c>
      <c r="N12" s="29">
        <v>0.33379629629629598</v>
      </c>
      <c r="O12" s="30"/>
      <c r="P12" s="31">
        <v>0</v>
      </c>
      <c r="Q12" s="32">
        <v>0.325891203703704</v>
      </c>
      <c r="R12" s="33"/>
      <c r="S12" s="34">
        <v>0</v>
      </c>
      <c r="T12" s="35">
        <v>0.35596412037037001</v>
      </c>
      <c r="U12" s="36">
        <f t="shared" si="1"/>
        <v>0.35631134259259223</v>
      </c>
      <c r="V12" s="37">
        <v>3.4722222222222202E-4</v>
      </c>
      <c r="W12" s="41">
        <v>0.34545833333333298</v>
      </c>
      <c r="X12" s="39">
        <v>0.34580555555555598</v>
      </c>
      <c r="Y12" s="40">
        <v>3.4722222222222202E-4</v>
      </c>
    </row>
    <row r="13" spans="1:25" x14ac:dyDescent="0.35">
      <c r="A13" s="14" t="s">
        <v>21</v>
      </c>
      <c r="B13" s="29">
        <v>0.29503472222222199</v>
      </c>
      <c r="C13" s="30"/>
      <c r="D13" s="31">
        <v>0</v>
      </c>
      <c r="E13" s="32">
        <v>0.28131944444444401</v>
      </c>
      <c r="F13" s="33"/>
      <c r="G13" s="34">
        <v>0</v>
      </c>
      <c r="H13" s="35">
        <v>0.31784027777777801</v>
      </c>
      <c r="I13" s="36">
        <f t="shared" si="0"/>
        <v>0.31818750000000023</v>
      </c>
      <c r="J13" s="37">
        <v>3.4722222222222202E-4</v>
      </c>
      <c r="K13" s="38">
        <v>0.29995833333333299</v>
      </c>
      <c r="L13" s="39">
        <v>0.30030555555555599</v>
      </c>
      <c r="M13" s="40">
        <v>3.4722222222222202E-4</v>
      </c>
      <c r="N13" s="29">
        <v>0.33670138888888901</v>
      </c>
      <c r="O13" s="30"/>
      <c r="P13" s="31">
        <v>0</v>
      </c>
      <c r="Q13" s="32">
        <v>0.32298611111111097</v>
      </c>
      <c r="R13" s="33"/>
      <c r="S13" s="34">
        <v>0</v>
      </c>
      <c r="T13" s="35">
        <v>0.35950694444444498</v>
      </c>
      <c r="U13" s="36">
        <f t="shared" si="1"/>
        <v>0.3598541666666672</v>
      </c>
      <c r="V13" s="37">
        <v>3.4722222222222202E-4</v>
      </c>
      <c r="W13" s="41">
        <v>0.34162500000000001</v>
      </c>
      <c r="X13" s="39">
        <v>0.34197222222222201</v>
      </c>
      <c r="Y13" s="40">
        <v>3.4722222222222202E-4</v>
      </c>
    </row>
    <row r="14" spans="1:25" x14ac:dyDescent="0.35">
      <c r="A14" s="28" t="s">
        <v>22</v>
      </c>
      <c r="B14" s="29">
        <v>0.29673611111111098</v>
      </c>
      <c r="C14" s="30"/>
      <c r="D14" s="31">
        <v>0</v>
      </c>
      <c r="E14" s="32">
        <v>0.27961805555555602</v>
      </c>
      <c r="F14" s="33"/>
      <c r="G14" s="34">
        <v>0</v>
      </c>
      <c r="H14" s="35">
        <v>0.320059027777778</v>
      </c>
      <c r="I14" s="36">
        <f t="shared" si="0"/>
        <v>0.32144791666666689</v>
      </c>
      <c r="J14" s="37">
        <v>1.38888888888889E-3</v>
      </c>
      <c r="K14" s="38">
        <v>0.296527777777778</v>
      </c>
      <c r="L14" s="39">
        <v>0.297916666666667</v>
      </c>
      <c r="M14" s="40">
        <v>1.38888888888889E-3</v>
      </c>
      <c r="N14" s="29">
        <v>0.338402777777778</v>
      </c>
      <c r="O14" s="30"/>
      <c r="P14" s="31">
        <v>0</v>
      </c>
      <c r="Q14" s="32">
        <v>0.32128472222222199</v>
      </c>
      <c r="R14" s="33"/>
      <c r="S14" s="34">
        <v>0</v>
      </c>
      <c r="T14" s="35">
        <v>0.36172569444444402</v>
      </c>
      <c r="U14" s="36">
        <f t="shared" si="1"/>
        <v>0.36311458333333291</v>
      </c>
      <c r="V14" s="37">
        <v>1.38888888888889E-3</v>
      </c>
      <c r="W14" s="41">
        <v>0.33819444444444402</v>
      </c>
      <c r="X14" s="39">
        <v>0.33958333333333302</v>
      </c>
      <c r="Y14" s="40">
        <v>1.38888888888889E-3</v>
      </c>
    </row>
    <row r="15" spans="1:25" x14ac:dyDescent="0.35">
      <c r="A15" s="42" t="s">
        <v>23</v>
      </c>
      <c r="B15" s="43">
        <v>0.300914351851852</v>
      </c>
      <c r="C15" s="44"/>
      <c r="D15" s="45">
        <v>0</v>
      </c>
      <c r="E15" s="46"/>
      <c r="F15" s="47">
        <v>0.275439814814815</v>
      </c>
      <c r="G15" s="48">
        <v>0</v>
      </c>
      <c r="H15" s="49">
        <v>0.326043981481482</v>
      </c>
      <c r="I15" s="50"/>
      <c r="J15" s="51"/>
      <c r="K15" s="52"/>
      <c r="L15" s="53">
        <v>0.29012731481481502</v>
      </c>
      <c r="M15" s="54"/>
      <c r="N15" s="43">
        <v>0.34258101851851902</v>
      </c>
      <c r="O15" s="44"/>
      <c r="P15" s="45">
        <v>0</v>
      </c>
      <c r="Q15" s="46"/>
      <c r="R15" s="47">
        <v>0.31710648148148102</v>
      </c>
      <c r="S15" s="48">
        <v>0</v>
      </c>
      <c r="T15" s="49">
        <v>0.36771064814814802</v>
      </c>
      <c r="U15" s="50"/>
      <c r="V15" s="51"/>
      <c r="W15" s="55"/>
      <c r="X15" s="53">
        <v>0.33179398148148198</v>
      </c>
      <c r="Y15" s="54"/>
    </row>
    <row r="17" spans="1:16" ht="18.5" x14ac:dyDescent="0.45">
      <c r="A17" s="56" t="s">
        <v>24</v>
      </c>
    </row>
    <row r="18" spans="1:16" x14ac:dyDescent="0.35">
      <c r="A18" s="57" t="s">
        <v>25</v>
      </c>
    </row>
    <row r="19" spans="1:16" x14ac:dyDescent="0.35">
      <c r="A19" s="57" t="s">
        <v>26</v>
      </c>
    </row>
    <row r="21" spans="1:16" x14ac:dyDescent="0.35">
      <c r="A21" t="s">
        <v>27</v>
      </c>
    </row>
    <row r="22" spans="1:16" x14ac:dyDescent="0.35">
      <c r="A22" t="s">
        <v>28</v>
      </c>
    </row>
    <row r="24" spans="1:16" x14ac:dyDescent="0.35">
      <c r="A24" t="s">
        <v>29</v>
      </c>
    </row>
    <row r="25" spans="1:16" x14ac:dyDescent="0.35">
      <c r="A25" s="5" t="s">
        <v>30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7" spans="1:16" x14ac:dyDescent="0.35">
      <c r="A27" s="58" t="s">
        <v>31</v>
      </c>
    </row>
    <row r="28" spans="1:16" x14ac:dyDescent="0.35">
      <c r="A28" s="4" t="s">
        <v>32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59"/>
      <c r="M28" s="59"/>
      <c r="N28" s="59"/>
      <c r="O28" s="59"/>
    </row>
    <row r="29" spans="1:16" x14ac:dyDescent="0.35">
      <c r="A29" s="3" t="s">
        <v>33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59"/>
      <c r="M29" s="59"/>
      <c r="N29" s="59"/>
      <c r="O29" s="59"/>
    </row>
    <row r="30" spans="1:16" x14ac:dyDescent="0.35">
      <c r="A30" s="2" t="s">
        <v>34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59"/>
    </row>
    <row r="31" spans="1:16" x14ac:dyDescent="0.35">
      <c r="A31" s="1" t="s">
        <v>35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</sheetData>
  <mergeCells count="14">
    <mergeCell ref="A28:K28"/>
    <mergeCell ref="A29:K29"/>
    <mergeCell ref="A30:N30"/>
    <mergeCell ref="A31:P31"/>
    <mergeCell ref="N4:P4"/>
    <mergeCell ref="Q4:S4"/>
    <mergeCell ref="T4:V4"/>
    <mergeCell ref="W4:Y4"/>
    <mergeCell ref="A25:P25"/>
    <mergeCell ref="A2:G2"/>
    <mergeCell ref="B4:D4"/>
    <mergeCell ref="E4:G4"/>
    <mergeCell ref="H4:J4"/>
    <mergeCell ref="K4:M4"/>
  </mergeCells>
  <pageMargins left="0.7" right="0.7" top="0.75" bottom="0.75" header="0.511811023622047" footer="0.3"/>
  <pageSetup paperSize="9" orientation="portrait" horizontalDpi="300" verticalDpi="300"/>
  <headerFooter>
    <oddFooter>&amp;L&amp;1#&amp;10&amp;K008000Interne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27"/>
  <sheetViews>
    <sheetView tabSelected="1" zoomScaleNormal="100" workbookViewId="0">
      <selection activeCell="A25" sqref="A25"/>
    </sheetView>
  </sheetViews>
  <sheetFormatPr defaultColWidth="10.6328125" defaultRowHeight="14.5" x14ac:dyDescent="0.35"/>
  <cols>
    <col min="1" max="1" width="23.08984375" customWidth="1"/>
    <col min="2" max="2" width="4.7265625" customWidth="1"/>
    <col min="3" max="7" width="5.7265625" customWidth="1"/>
    <col min="8" max="8" width="6.7265625" customWidth="1"/>
    <col min="9" max="13" width="7.7265625" customWidth="1"/>
    <col min="14" max="14" width="6" customWidth="1"/>
    <col min="15" max="15" width="7.26953125" customWidth="1"/>
  </cols>
  <sheetData>
    <row r="2" spans="1:15" ht="26" x14ac:dyDescent="0.6">
      <c r="A2" s="60" t="s">
        <v>36</v>
      </c>
    </row>
    <row r="5" spans="1:15" x14ac:dyDescent="0.35">
      <c r="A5" t="s">
        <v>37</v>
      </c>
    </row>
    <row r="6" spans="1:15" x14ac:dyDescent="0.3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 t="s">
        <v>49</v>
      </c>
      <c r="M6" t="s">
        <v>50</v>
      </c>
      <c r="N6" t="s">
        <v>51</v>
      </c>
    </row>
    <row r="7" spans="1:15" x14ac:dyDescent="0.35">
      <c r="A7" t="s">
        <v>52</v>
      </c>
      <c r="B7">
        <v>0.1</v>
      </c>
      <c r="C7">
        <v>0.3</v>
      </c>
      <c r="D7">
        <v>0.3</v>
      </c>
      <c r="E7">
        <v>0.1</v>
      </c>
      <c r="F7">
        <v>0.05</v>
      </c>
      <c r="G7">
        <v>0.04</v>
      </c>
      <c r="H7">
        <v>2.5000000000000001E-2</v>
      </c>
      <c r="I7">
        <v>1.4999999999999999E-2</v>
      </c>
      <c r="J7">
        <v>1.4999999999999999E-2</v>
      </c>
      <c r="K7">
        <v>1.4999999999999999E-2</v>
      </c>
      <c r="L7">
        <v>1.4E-2</v>
      </c>
      <c r="M7">
        <v>1.4E-2</v>
      </c>
      <c r="N7">
        <v>1.2E-2</v>
      </c>
      <c r="O7">
        <f>SUM(B7:N7)</f>
        <v>1</v>
      </c>
    </row>
    <row r="8" spans="1:15" x14ac:dyDescent="0.35">
      <c r="A8" t="s">
        <v>53</v>
      </c>
      <c r="B8">
        <v>0.1</v>
      </c>
      <c r="C8">
        <v>0.15</v>
      </c>
      <c r="D8">
        <v>0.2</v>
      </c>
      <c r="E8">
        <v>0.18</v>
      </c>
      <c r="F8">
        <v>0.15</v>
      </c>
      <c r="G8">
        <v>0.1</v>
      </c>
      <c r="H8">
        <v>0.05</v>
      </c>
      <c r="I8">
        <v>0.02</v>
      </c>
      <c r="J8">
        <v>0.01</v>
      </c>
      <c r="K8">
        <v>0.01</v>
      </c>
      <c r="L8">
        <v>0.01</v>
      </c>
      <c r="M8">
        <v>0.01</v>
      </c>
      <c r="N8">
        <v>0.01</v>
      </c>
      <c r="O8">
        <f>SUM(B8:N8)</f>
        <v>1</v>
      </c>
    </row>
    <row r="24" spans="1:15" x14ac:dyDescent="0.35">
      <c r="A24" t="s">
        <v>54</v>
      </c>
    </row>
    <row r="25" spans="1:15" x14ac:dyDescent="0.35">
      <c r="A25" t="s">
        <v>38</v>
      </c>
      <c r="B25" t="s">
        <v>39</v>
      </c>
      <c r="C25" t="s">
        <v>40</v>
      </c>
      <c r="D25" t="s">
        <v>41</v>
      </c>
      <c r="E25" t="s">
        <v>42</v>
      </c>
      <c r="F25" t="s">
        <v>43</v>
      </c>
      <c r="G25" t="s">
        <v>44</v>
      </c>
      <c r="H25" t="s">
        <v>45</v>
      </c>
      <c r="I25" t="s">
        <v>46</v>
      </c>
      <c r="J25" t="s">
        <v>47</v>
      </c>
      <c r="K25" t="s">
        <v>48</v>
      </c>
      <c r="L25" t="s">
        <v>49</v>
      </c>
      <c r="M25" t="s">
        <v>50</v>
      </c>
      <c r="N25" t="s">
        <v>51</v>
      </c>
    </row>
    <row r="26" spans="1:15" x14ac:dyDescent="0.35">
      <c r="A26" t="s">
        <v>52</v>
      </c>
      <c r="B26">
        <v>0.3</v>
      </c>
      <c r="C26">
        <v>0.25</v>
      </c>
      <c r="D26">
        <v>0.15</v>
      </c>
      <c r="E26">
        <v>0.1</v>
      </c>
      <c r="F26">
        <v>0.05</v>
      </c>
      <c r="G26">
        <v>0.04</v>
      </c>
      <c r="H26">
        <v>2.5000000000000001E-2</v>
      </c>
      <c r="I26">
        <v>1.4999999999999999E-2</v>
      </c>
      <c r="J26">
        <v>1.4999999999999999E-2</v>
      </c>
      <c r="K26">
        <v>1.4999999999999999E-2</v>
      </c>
      <c r="L26">
        <v>1.4E-2</v>
      </c>
      <c r="M26">
        <v>1.4E-2</v>
      </c>
      <c r="N26">
        <v>1.2E-2</v>
      </c>
      <c r="O26">
        <f>SUM(B26:N26)</f>
        <v>1.0000000000000002</v>
      </c>
    </row>
    <row r="27" spans="1:15" x14ac:dyDescent="0.35">
      <c r="A27" t="s">
        <v>53</v>
      </c>
      <c r="B27">
        <v>0.1</v>
      </c>
      <c r="C27">
        <v>0.3</v>
      </c>
      <c r="D27">
        <v>0.3</v>
      </c>
      <c r="E27">
        <v>0.08</v>
      </c>
      <c r="F27">
        <v>0.08</v>
      </c>
      <c r="G27">
        <v>0.04</v>
      </c>
      <c r="H27">
        <v>0.02</v>
      </c>
      <c r="I27">
        <v>0.02</v>
      </c>
      <c r="J27">
        <v>0.02</v>
      </c>
      <c r="K27">
        <v>0.01</v>
      </c>
      <c r="L27">
        <v>0.01</v>
      </c>
      <c r="M27">
        <v>0.01</v>
      </c>
      <c r="N27">
        <v>0.01</v>
      </c>
      <c r="O27">
        <f>SUM(B27:N27)</f>
        <v>1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horaire</vt:lpstr>
      <vt:lpstr>departures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7911682e</dc:creator>
  <dc:description/>
  <cp:lastModifiedBy>Egidio Quaglietta</cp:lastModifiedBy>
  <cp:revision>4</cp:revision>
  <dcterms:created xsi:type="dcterms:W3CDTF">2022-12-07T20:18:46Z</dcterms:created>
  <dcterms:modified xsi:type="dcterms:W3CDTF">2023-12-21T14:01:36Z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ActionId">
    <vt:lpwstr>935fb5e1-13eb-4f8a-9aaf-5bf7a205a2e9</vt:lpwstr>
  </property>
  <property fmtid="{D5CDD505-2E9C-101B-9397-08002B2CF9AE}" pid="3" name="MSIP_Label_c8d3f7c8-5c4b-4ab6-9486-a0a9eb08efa7_ContentBits">
    <vt:lpwstr>2</vt:lpwstr>
  </property>
  <property fmtid="{D5CDD505-2E9C-101B-9397-08002B2CF9AE}" pid="4" name="MSIP_Label_c8d3f7c8-5c4b-4ab6-9486-a0a9eb08efa7_Enabled">
    <vt:lpwstr>true</vt:lpwstr>
  </property>
  <property fmtid="{D5CDD505-2E9C-101B-9397-08002B2CF9AE}" pid="5" name="MSIP_Label_c8d3f7c8-5c4b-4ab6-9486-a0a9eb08efa7_Method">
    <vt:lpwstr>Standard</vt:lpwstr>
  </property>
  <property fmtid="{D5CDD505-2E9C-101B-9397-08002B2CF9AE}" pid="6" name="MSIP_Label_c8d3f7c8-5c4b-4ab6-9486-a0a9eb08efa7_Name">
    <vt:lpwstr>Interne - Groupe</vt:lpwstr>
  </property>
  <property fmtid="{D5CDD505-2E9C-101B-9397-08002B2CF9AE}" pid="7" name="MSIP_Label_c8d3f7c8-5c4b-4ab6-9486-a0a9eb08efa7_SetDate">
    <vt:lpwstr>2022-12-07T22:37:32Z</vt:lpwstr>
  </property>
  <property fmtid="{D5CDD505-2E9C-101B-9397-08002B2CF9AE}" pid="8" name="MSIP_Label_c8d3f7c8-5c4b-4ab6-9486-a0a9eb08efa7_SiteId">
    <vt:lpwstr>4a7c8238-5799-4b16-9fc6-9ad8fce5a7d9</vt:lpwstr>
  </property>
</Properties>
</file>